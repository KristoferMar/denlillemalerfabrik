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rtiment v1.2 - Auto"/>
  </sheets>
  <calcPr fullCalcOnLoad="1"/>
</workbook>
</file>

<file path=xl/sharedStrings.xml><?xml version="1.0" encoding="utf-8"?>
<sst xmlns="http://schemas.openxmlformats.org/spreadsheetml/2006/main" count="251" uniqueCount="81">
  <si>
    <t>Kategori</t>
  </si>
  <si>
    <t>Produktnavn</t>
  </si>
  <si>
    <t>Størrelse</t>
  </si>
  <si>
    <t>Enhed</t>
  </si>
  <si>
    <t>Indkøbspris ekskl. moms</t>
  </si>
  <si>
    <t>Udsalgspris ekskl. moms</t>
  </si>
  <si>
    <t>Rabat %</t>
  </si>
  <si>
    <t>Slutpris ekskl. moms</t>
  </si>
  <si>
    <t>Slutpris inkl. moms</t>
  </si>
  <si>
    <t>Avance %</t>
  </si>
  <si>
    <t>Dækningsbidrag kr.</t>
  </si>
  <si>
    <t>Spartel &amp; Forbehandling</t>
  </si>
  <si>
    <t>Sandspartel Fin</t>
  </si>
  <si>
    <t>5 L</t>
  </si>
  <si>
    <t>L</t>
  </si>
  <si>
    <t>10 L</t>
  </si>
  <si>
    <t>Sandspartel Medium</t>
  </si>
  <si>
    <t>Letspartel (Finish)</t>
  </si>
  <si>
    <t>Vådrumsspartel</t>
  </si>
  <si>
    <t>Microdispers (blåtonet, inde/ude)</t>
  </si>
  <si>
    <t>Microdispersgrunder (tixotropisk)</t>
  </si>
  <si>
    <t>2,5 L</t>
  </si>
  <si>
    <t>Microdispers Microgrunder (hvidpigmenteret)</t>
  </si>
  <si>
    <t>Grundingsolie vandig</t>
  </si>
  <si>
    <t>Grundingsolie vandig (industri)</t>
  </si>
  <si>
    <t>20 L</t>
  </si>
  <si>
    <t>Alkyd træ grundingsolie</t>
  </si>
  <si>
    <t>Væg &amp; Loft</t>
  </si>
  <si>
    <t>Loft- &amp; vægmaling Glans 5</t>
  </si>
  <si>
    <t>3 L</t>
  </si>
  <si>
    <t>Vægmaling Glans 10</t>
  </si>
  <si>
    <t>Vægmaling Køkken &amp; Bad Glans 25</t>
  </si>
  <si>
    <t>Vandskuringsmaling</t>
  </si>
  <si>
    <t>Strukturmaling</t>
  </si>
  <si>
    <t>Træ &amp; Metal</t>
  </si>
  <si>
    <t>Akryl emalie Glans 40</t>
  </si>
  <si>
    <t>1 L</t>
  </si>
  <si>
    <t>PU gulvlak</t>
  </si>
  <si>
    <t>Træbeskyttelse &amp; Olie</t>
  </si>
  <si>
    <t>Træbeskyttelse heldækkende (alkyd/olie)</t>
  </si>
  <si>
    <t>Træbeskyttelse heldækkende (vandig)</t>
  </si>
  <si>
    <t>Transparent træbeskyttelse</t>
  </si>
  <si>
    <t>Transparent træbeskyttelse (tixotropisk)</t>
  </si>
  <si>
    <t>Træterrasseolie (olie-baseret)</t>
  </si>
  <si>
    <t>Træolie 40 (olie-baseret)</t>
  </si>
  <si>
    <t>Ædeltræsolie (gylden)</t>
  </si>
  <si>
    <t>Universal heldækkende (olie-baseret) til træ/sten/eternit</t>
  </si>
  <si>
    <t>Mur &amp; Facade &amp; Tag</t>
  </si>
  <si>
    <t>Mur &amp; facademaling (akryl/olie)</t>
  </si>
  <si>
    <t>Tag &amp; facademaling</t>
  </si>
  <si>
    <t>Tag &amp; facademaling Glans 20</t>
  </si>
  <si>
    <t>Tagmaling Glans 20 (sort glans 60)</t>
  </si>
  <si>
    <t>Tagmaling Glans 10</t>
  </si>
  <si>
    <t>Tagmaling aluminium Glans 60</t>
  </si>
  <si>
    <t>Tag &amp; sokkelmaling</t>
  </si>
  <si>
    <t>Tagflex (gummimaling)</t>
  </si>
  <si>
    <t>Rens</t>
  </si>
  <si>
    <t>Husrens Plus 9,9%</t>
  </si>
  <si>
    <t>Universalrens koncentrat 50%</t>
  </si>
  <si>
    <t>Epoxy</t>
  </si>
  <si>
    <t>LF-Epoxy Klar</t>
  </si>
  <si>
    <t>16 kg sæt</t>
  </si>
  <si>
    <t>kg</t>
  </si>
  <si>
    <t>LF-Epoxy Primer upigmenteret</t>
  </si>
  <si>
    <t>15 kg sæt</t>
  </si>
  <si>
    <t>Vægbeklædning</t>
  </si>
  <si>
    <t>Glasfilt</t>
  </si>
  <si>
    <t>25 m</t>
  </si>
  <si>
    <t>m/rl</t>
  </si>
  <si>
    <t>50 m</t>
  </si>
  <si>
    <t>Glasvæv</t>
  </si>
  <si>
    <t>Magnetisk filt Mag+</t>
  </si>
  <si>
    <t>2,5 m²</t>
  </si>
  <si>
    <t>m²</t>
  </si>
  <si>
    <t>5 m²</t>
  </si>
  <si>
    <t>10 m²</t>
  </si>
  <si>
    <t>Rutex savsmuldstapet</t>
  </si>
  <si>
    <t>1 rulle</t>
  </si>
  <si>
    <t>rl</t>
  </si>
  <si>
    <t>Vævlim</t>
  </si>
  <si>
    <t>12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</si>
</sst>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1"/>
  <sheetViews>
    <sheetView workbookViewId="0" tabSelected="1"/>
  </sheetViews>
  <sheetFormatPr defaultRowHeight="15" x14ac:dyDescent="0.25"/>
  <cols>
    <col min="1" max="1" style="10" width="37.57642857142857" customWidth="1" bestFit="1"/>
    <col min="2" max="2" style="11" width="65.005" customWidth="1" bestFit="1"/>
    <col min="3" max="3" style="10" width="12.43357142857143" customWidth="1" bestFit="1"/>
    <col min="4" max="4" style="10" width="12.43357142857143" customWidth="1" bestFit="1"/>
    <col min="5" max="5" style="12" width="12.43357142857143" customWidth="1" bestFit="1"/>
    <col min="6" max="6" style="10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</cols>
  <sheetData>
    <row x14ac:dyDescent="0.25" r="1" customHeight="1" ht="28.5" customFormat="1" s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39.75" customFormat="1" s="1">
      <c r="A2" s="2" t="s">
        <v>11</v>
      </c>
      <c r="B2" s="3" t="s">
        <v>12</v>
      </c>
      <c r="C2" s="2" t="s">
        <v>13</v>
      </c>
      <c r="D2" s="2" t="s">
        <v>14</v>
      </c>
      <c r="E2" s="4"/>
      <c r="F2" s="2"/>
      <c r="G2" s="2"/>
      <c r="H2" s="5">
        <f>F2*(1-IFERROR(G2,0)/100)</f>
      </c>
      <c r="I2" s="5">
        <f>H2*1.25</f>
      </c>
      <c r="J2" s="5">
        <f>IF(H2=0,"",(H2-E2)/H2)</f>
      </c>
      <c r="K2" s="5">
        <f>IF(H2=0,"",H2-E2)</f>
      </c>
    </row>
    <row x14ac:dyDescent="0.25" r="3" customHeight="1" ht="39.75" customFormat="1" s="1">
      <c r="A3" s="2" t="s">
        <v>11</v>
      </c>
      <c r="B3" s="3" t="s">
        <v>12</v>
      </c>
      <c r="C3" s="2" t="s">
        <v>15</v>
      </c>
      <c r="D3" s="2" t="s">
        <v>14</v>
      </c>
      <c r="E3" s="4"/>
      <c r="F3" s="2"/>
      <c r="G3" s="2"/>
      <c r="H3" s="5">
        <f>F3*(1-IFERROR(G3,0)/100)</f>
      </c>
      <c r="I3" s="5">
        <f>H3*1.25</f>
      </c>
      <c r="J3" s="5">
        <f>IF(H3=0,"",(H3-E3)/H3)</f>
      </c>
      <c r="K3" s="5">
        <f>IF(H3=0,"",H3-E3)</f>
      </c>
    </row>
    <row x14ac:dyDescent="0.25" r="4" customHeight="1" ht="39.75" customFormat="1" s="1">
      <c r="A4" s="2" t="s">
        <v>11</v>
      </c>
      <c r="B4" s="3" t="s">
        <v>16</v>
      </c>
      <c r="C4" s="2" t="s">
        <v>15</v>
      </c>
      <c r="D4" s="2" t="s">
        <v>14</v>
      </c>
      <c r="E4" s="4"/>
      <c r="F4" s="2"/>
      <c r="G4" s="2"/>
      <c r="H4" s="5">
        <f>F4*(1-IFERROR(G4,0)/100)</f>
      </c>
      <c r="I4" s="5">
        <f>H4*1.25</f>
      </c>
      <c r="J4" s="5">
        <f>IF(H4=0,"",(H4-E4)/H4)</f>
      </c>
      <c r="K4" s="5">
        <f>IF(H4=0,"",H4-E4)</f>
      </c>
    </row>
    <row x14ac:dyDescent="0.25" r="5" customHeight="1" ht="39.75" customFormat="1" s="1">
      <c r="A5" s="2" t="s">
        <v>11</v>
      </c>
      <c r="B5" s="3" t="s">
        <v>17</v>
      </c>
      <c r="C5" s="2" t="s">
        <v>13</v>
      </c>
      <c r="D5" s="2" t="s">
        <v>14</v>
      </c>
      <c r="E5" s="4"/>
      <c r="F5" s="2"/>
      <c r="G5" s="2"/>
      <c r="H5" s="5">
        <f>F5*(1-IFERROR(G5,0)/100)</f>
      </c>
      <c r="I5" s="5">
        <f>H5*1.25</f>
      </c>
      <c r="J5" s="5">
        <f>IF(H5=0,"",(H5-E5)/H5)</f>
      </c>
      <c r="K5" s="5">
        <f>IF(H5=0,"",H5-E5)</f>
      </c>
    </row>
    <row x14ac:dyDescent="0.25" r="6" customHeight="1" ht="39.75" customFormat="1" s="1">
      <c r="A6" s="2" t="s">
        <v>11</v>
      </c>
      <c r="B6" s="3" t="s">
        <v>18</v>
      </c>
      <c r="C6" s="2" t="s">
        <v>15</v>
      </c>
      <c r="D6" s="2" t="s">
        <v>14</v>
      </c>
      <c r="E6" s="4"/>
      <c r="F6" s="2"/>
      <c r="G6" s="2"/>
      <c r="H6" s="5">
        <f>F6*(1-IFERROR(G6,0)/100)</f>
      </c>
      <c r="I6" s="5">
        <f>H6*1.25</f>
      </c>
      <c r="J6" s="5">
        <f>IF(H6=0,"",(H6-E6)/H6)</f>
      </c>
      <c r="K6" s="5">
        <f>IF(H6=0,"",H6-E6)</f>
      </c>
    </row>
    <row x14ac:dyDescent="0.25" r="7" customHeight="1" ht="17.25">
      <c r="A7" s="6" t="s">
        <v>11</v>
      </c>
      <c r="B7" s="3" t="s">
        <v>19</v>
      </c>
      <c r="C7" s="6" t="s">
        <v>15</v>
      </c>
      <c r="D7" s="6" t="s">
        <v>14</v>
      </c>
      <c r="E7" s="7">
        <v>350</v>
      </c>
      <c r="F7" s="6"/>
      <c r="G7" s="6"/>
      <c r="H7" s="8">
        <f>F7*(1-IFERROR(G7,0)/100)</f>
      </c>
      <c r="I7" s="8">
        <f>H7*1.25</f>
      </c>
      <c r="J7" s="8">
        <f>IF(H7=0,"",(H7-E7)/H7)</f>
      </c>
      <c r="K7" s="8">
        <f>IF(H7=0,"",H7-E7)</f>
      </c>
    </row>
    <row x14ac:dyDescent="0.25" r="8" customHeight="1" ht="17.25">
      <c r="A8" s="6" t="s">
        <v>11</v>
      </c>
      <c r="B8" s="3" t="s">
        <v>20</v>
      </c>
      <c r="C8" s="6" t="s">
        <v>21</v>
      </c>
      <c r="D8" s="6" t="s">
        <v>14</v>
      </c>
      <c r="E8" s="9">
        <v>87.5</v>
      </c>
      <c r="F8" s="6"/>
      <c r="G8" s="6"/>
      <c r="H8" s="8">
        <f>F8*(1-IFERROR(G8,0)/100)</f>
      </c>
      <c r="I8" s="8">
        <f>H8*1.25</f>
      </c>
      <c r="J8" s="8">
        <f>IF(H8=0,"",(H8-E8)/H8)</f>
      </c>
      <c r="K8" s="8">
        <f>IF(H8=0,"",H8-E8)</f>
      </c>
    </row>
    <row x14ac:dyDescent="0.25" r="9" customHeight="1" ht="17.25">
      <c r="A9" s="6" t="s">
        <v>11</v>
      </c>
      <c r="B9" s="3" t="s">
        <v>22</v>
      </c>
      <c r="C9" s="6" t="s">
        <v>15</v>
      </c>
      <c r="D9" s="6" t="s">
        <v>14</v>
      </c>
      <c r="E9" s="7">
        <v>200</v>
      </c>
      <c r="F9" s="6"/>
      <c r="G9" s="6"/>
      <c r="H9" s="8">
        <f>F9*(1-IFERROR(G9,0)/100)</f>
      </c>
      <c r="I9" s="8">
        <f>H9*1.25</f>
      </c>
      <c r="J9" s="8">
        <f>IF(H9=0,"",(H9-E9)/H9)</f>
      </c>
      <c r="K9" s="8">
        <f>IF(H9=0,"",H9-E9)</f>
      </c>
    </row>
    <row x14ac:dyDescent="0.25" r="10" customHeight="1" ht="17.25">
      <c r="A10" s="6" t="s">
        <v>11</v>
      </c>
      <c r="B10" s="3" t="s">
        <v>23</v>
      </c>
      <c r="C10" s="6" t="s">
        <v>13</v>
      </c>
      <c r="D10" s="6" t="s">
        <v>14</v>
      </c>
      <c r="E10" s="7">
        <v>100</v>
      </c>
      <c r="F10" s="6"/>
      <c r="G10" s="6"/>
      <c r="H10" s="8">
        <f>F10*(1-IFERROR(G10,0)/100)</f>
      </c>
      <c r="I10" s="8">
        <f>H10*1.25</f>
      </c>
      <c r="J10" s="8">
        <f>IF(H10=0,"",(H10-E10)/H10)</f>
      </c>
      <c r="K10" s="8">
        <f>IF(H10=0,"",H10-E10)</f>
      </c>
    </row>
    <row x14ac:dyDescent="0.25" r="11" customHeight="1" ht="17.25">
      <c r="A11" s="6" t="s">
        <v>11</v>
      </c>
      <c r="B11" s="3" t="s">
        <v>23</v>
      </c>
      <c r="C11" s="6" t="s">
        <v>15</v>
      </c>
      <c r="D11" s="6" t="s">
        <v>14</v>
      </c>
      <c r="E11" s="7">
        <v>200</v>
      </c>
      <c r="F11" s="6"/>
      <c r="G11" s="6"/>
      <c r="H11" s="8">
        <f>F11*(1-IFERROR(G11,0)/100)</f>
      </c>
      <c r="I11" s="8">
        <f>H11*1.25</f>
      </c>
      <c r="J11" s="8">
        <f>IF(H11=0,"",(H11-E11)/H11)</f>
      </c>
      <c r="K11" s="8">
        <f>IF(H11=0,"",H11-E11)</f>
      </c>
    </row>
    <row x14ac:dyDescent="0.25" r="12" customHeight="1" ht="17.25">
      <c r="A12" s="6" t="s">
        <v>11</v>
      </c>
      <c r="B12" s="3" t="s">
        <v>24</v>
      </c>
      <c r="C12" s="6" t="s">
        <v>25</v>
      </c>
      <c r="D12" s="6" t="s">
        <v>14</v>
      </c>
      <c r="E12" s="7">
        <v>300</v>
      </c>
      <c r="F12" s="6"/>
      <c r="G12" s="6"/>
      <c r="H12" s="8">
        <f>F12*(1-IFERROR(G12,0)/100)</f>
      </c>
      <c r="I12" s="8">
        <f>H12*1.25</f>
      </c>
      <c r="J12" s="8">
        <f>IF(H12=0,"",(H12-E12)/H12)</f>
      </c>
      <c r="K12" s="8">
        <f>IF(H12=0,"",H12-E12)</f>
      </c>
    </row>
    <row x14ac:dyDescent="0.25" r="13" customHeight="1" ht="17.25">
      <c r="A13" s="6" t="s">
        <v>11</v>
      </c>
      <c r="B13" s="3" t="s">
        <v>26</v>
      </c>
      <c r="C13" s="6" t="s">
        <v>13</v>
      </c>
      <c r="D13" s="6" t="s">
        <v>14</v>
      </c>
      <c r="E13" s="7">
        <v>200</v>
      </c>
      <c r="F13" s="6"/>
      <c r="G13" s="6"/>
      <c r="H13" s="8">
        <f>F13*(1-IFERROR(G13,0)/100)</f>
      </c>
      <c r="I13" s="8">
        <f>H13*1.25</f>
      </c>
      <c r="J13" s="8">
        <f>IF(H13=0,"",(H13-E13)/H13)</f>
      </c>
      <c r="K13" s="8">
        <f>IF(H13=0,"",H13-E13)</f>
      </c>
    </row>
    <row x14ac:dyDescent="0.25" r="14" customHeight="1" ht="17.25">
      <c r="A14" s="6" t="s">
        <v>11</v>
      </c>
      <c r="B14" s="3" t="s">
        <v>26</v>
      </c>
      <c r="C14" s="6" t="s">
        <v>25</v>
      </c>
      <c r="D14" s="6" t="s">
        <v>14</v>
      </c>
      <c r="E14" s="7">
        <v>700</v>
      </c>
      <c r="F14" s="6"/>
      <c r="G14" s="6"/>
      <c r="H14" s="8">
        <f>F14*(1-IFERROR(G14,0)/100)</f>
      </c>
      <c r="I14" s="8">
        <f>H14*1.25</f>
      </c>
      <c r="J14" s="8">
        <f>IF(H14=0,"",(H14-E14)/H14)</f>
      </c>
      <c r="K14" s="8">
        <f>IF(H14=0,"",H14-E14)</f>
      </c>
    </row>
    <row x14ac:dyDescent="0.25" r="15" customHeight="1" ht="17.25" customFormat="1" s="1">
      <c r="A15" s="2" t="s">
        <v>27</v>
      </c>
      <c r="B15" s="3" t="s">
        <v>28</v>
      </c>
      <c r="C15" s="2" t="s">
        <v>29</v>
      </c>
      <c r="D15" s="2" t="s">
        <v>14</v>
      </c>
      <c r="E15" s="4"/>
      <c r="F15" s="2"/>
      <c r="G15" s="2"/>
      <c r="H15" s="5">
        <f>F15*(1-IFERROR(G15,0)/100)</f>
      </c>
      <c r="I15" s="5">
        <f>H15*1.25</f>
      </c>
      <c r="J15" s="5">
        <f>IF(H15=0,"",(H15-E15)/H15)</f>
      </c>
      <c r="K15" s="5">
        <f>IF(H15=0,"",H15-E15)</f>
      </c>
    </row>
    <row x14ac:dyDescent="0.25" r="16" customHeight="1" ht="17.25" customFormat="1" s="1">
      <c r="A16" s="2" t="s">
        <v>27</v>
      </c>
      <c r="B16" s="3" t="s">
        <v>28</v>
      </c>
      <c r="C16" s="2" t="s">
        <v>13</v>
      </c>
      <c r="D16" s="2" t="s">
        <v>14</v>
      </c>
      <c r="E16" s="4"/>
      <c r="F16" s="2"/>
      <c r="G16" s="2"/>
      <c r="H16" s="5">
        <f>F16*(1-IFERROR(G16,0)/100)</f>
      </c>
      <c r="I16" s="5">
        <f>H16*1.25</f>
      </c>
      <c r="J16" s="5">
        <f>IF(H16=0,"",(H16-E16)/H16)</f>
      </c>
      <c r="K16" s="5">
        <f>IF(H16=0,"",H16-E16)</f>
      </c>
    </row>
    <row x14ac:dyDescent="0.25" r="17" customHeight="1" ht="17.25" customFormat="1" s="1">
      <c r="A17" s="2" t="s">
        <v>27</v>
      </c>
      <c r="B17" s="3" t="s">
        <v>28</v>
      </c>
      <c r="C17" s="2" t="s">
        <v>15</v>
      </c>
      <c r="D17" s="2" t="s">
        <v>14</v>
      </c>
      <c r="E17" s="4"/>
      <c r="F17" s="2"/>
      <c r="G17" s="2"/>
      <c r="H17" s="5">
        <f>F17*(1-IFERROR(G17,0)/100)</f>
      </c>
      <c r="I17" s="5">
        <f>H17*1.25</f>
      </c>
      <c r="J17" s="5">
        <f>IF(H17=0,"",(H17-E17)/H17)</f>
      </c>
      <c r="K17" s="5">
        <f>IF(H17=0,"",H17-E17)</f>
      </c>
    </row>
    <row x14ac:dyDescent="0.25" r="18" customHeight="1" ht="17.25">
      <c r="A18" s="6" t="s">
        <v>27</v>
      </c>
      <c r="B18" s="3" t="s">
        <v>30</v>
      </c>
      <c r="C18" s="6" t="s">
        <v>29</v>
      </c>
      <c r="D18" s="6" t="s">
        <v>14</v>
      </c>
      <c r="E18" s="7">
        <v>105</v>
      </c>
      <c r="F18" s="6"/>
      <c r="G18" s="6"/>
      <c r="H18" s="8">
        <f>F18*(1-IFERROR(G18,0)/100)</f>
      </c>
      <c r="I18" s="8">
        <f>H18*1.25</f>
      </c>
      <c r="J18" s="8">
        <f>IF(H18=0,"",(H18-E18)/H18)</f>
      </c>
      <c r="K18" s="8">
        <f>IF(H18=0,"",H18-E18)</f>
      </c>
    </row>
    <row x14ac:dyDescent="0.25" r="19" customHeight="1" ht="17.25">
      <c r="A19" s="6" t="s">
        <v>27</v>
      </c>
      <c r="B19" s="3" t="s">
        <v>30</v>
      </c>
      <c r="C19" s="6" t="s">
        <v>15</v>
      </c>
      <c r="D19" s="6" t="s">
        <v>14</v>
      </c>
      <c r="E19" s="7">
        <v>230</v>
      </c>
      <c r="F19" s="6"/>
      <c r="G19" s="6"/>
      <c r="H19" s="8">
        <f>F19*(1-IFERROR(G19,0)/100)</f>
      </c>
      <c r="I19" s="8">
        <f>H19*1.25</f>
      </c>
      <c r="J19" s="8">
        <f>IF(H19=0,"",(H19-E19)/H19)</f>
      </c>
      <c r="K19" s="8">
        <f>IF(H19=0,"",H19-E19)</f>
      </c>
    </row>
    <row x14ac:dyDescent="0.25" r="20" customHeight="1" ht="17.25">
      <c r="A20" s="6" t="s">
        <v>27</v>
      </c>
      <c r="B20" s="3" t="s">
        <v>31</v>
      </c>
      <c r="C20" s="6" t="s">
        <v>29</v>
      </c>
      <c r="D20" s="6" t="s">
        <v>14</v>
      </c>
      <c r="E20" s="7">
        <v>150</v>
      </c>
      <c r="F20" s="6"/>
      <c r="G20" s="6"/>
      <c r="H20" s="8">
        <f>F20*(1-IFERROR(G20,0)/100)</f>
      </c>
      <c r="I20" s="8">
        <f>H20*1.25</f>
      </c>
      <c r="J20" s="8">
        <f>IF(H20=0,"",(H20-E20)/H20)</f>
      </c>
      <c r="K20" s="8">
        <f>IF(H20=0,"",H20-E20)</f>
      </c>
    </row>
    <row x14ac:dyDescent="0.25" r="21" customHeight="1" ht="17.25" customFormat="1" s="1">
      <c r="A21" s="2" t="s">
        <v>27</v>
      </c>
      <c r="B21" s="3" t="s">
        <v>31</v>
      </c>
      <c r="C21" s="2" t="s">
        <v>13</v>
      </c>
      <c r="D21" s="2" t="s">
        <v>14</v>
      </c>
      <c r="E21" s="4"/>
      <c r="F21" s="2"/>
      <c r="G21" s="2"/>
      <c r="H21" s="5">
        <f>F21*(1-IFERROR(G21,0)/100)</f>
      </c>
      <c r="I21" s="5">
        <f>H21*1.25</f>
      </c>
      <c r="J21" s="5">
        <f>IF(H21=0,"",(H21-E21)/H21)</f>
      </c>
      <c r="K21" s="5">
        <f>IF(H21=0,"",H21-E21)</f>
      </c>
    </row>
    <row x14ac:dyDescent="0.25" r="22" customHeight="1" ht="17.25">
      <c r="A22" s="6" t="s">
        <v>27</v>
      </c>
      <c r="B22" s="3" t="s">
        <v>31</v>
      </c>
      <c r="C22" s="6" t="s">
        <v>15</v>
      </c>
      <c r="D22" s="6" t="s">
        <v>14</v>
      </c>
      <c r="E22" s="7">
        <v>360</v>
      </c>
      <c r="F22" s="6"/>
      <c r="G22" s="6"/>
      <c r="H22" s="8">
        <f>F22*(1-IFERROR(G22,0)/100)</f>
      </c>
      <c r="I22" s="8">
        <f>H22*1.25</f>
      </c>
      <c r="J22" s="8">
        <f>IF(H22=0,"",(H22-E22)/H22)</f>
      </c>
      <c r="K22" s="8">
        <f>IF(H22=0,"",H22-E22)</f>
      </c>
    </row>
    <row x14ac:dyDescent="0.25" r="23" customHeight="1" ht="17.25">
      <c r="A23" s="6" t="s">
        <v>27</v>
      </c>
      <c r="B23" s="3" t="s">
        <v>32</v>
      </c>
      <c r="C23" s="6" t="s">
        <v>15</v>
      </c>
      <c r="D23" s="6" t="s">
        <v>14</v>
      </c>
      <c r="E23" s="7">
        <v>200</v>
      </c>
      <c r="F23" s="6"/>
      <c r="G23" s="6"/>
      <c r="H23" s="8">
        <f>F23*(1-IFERROR(G23,0)/100)</f>
      </c>
      <c r="I23" s="8">
        <f>H23*1.25</f>
      </c>
      <c r="J23" s="8">
        <f>IF(H23=0,"",(H23-E23)/H23)</f>
      </c>
      <c r="K23" s="8">
        <f>IF(H23=0,"",H23-E23)</f>
      </c>
    </row>
    <row x14ac:dyDescent="0.25" r="24" customHeight="1" ht="17.25">
      <c r="A24" s="6" t="s">
        <v>27</v>
      </c>
      <c r="B24" s="3" t="s">
        <v>33</v>
      </c>
      <c r="C24" s="6" t="s">
        <v>15</v>
      </c>
      <c r="D24" s="6" t="s">
        <v>14</v>
      </c>
      <c r="E24" s="7">
        <v>200</v>
      </c>
      <c r="F24" s="6"/>
      <c r="G24" s="6"/>
      <c r="H24" s="8">
        <f>F24*(1-IFERROR(G24,0)/100)</f>
      </c>
      <c r="I24" s="8">
        <f>H24*1.25</f>
      </c>
      <c r="J24" s="8">
        <f>IF(H24=0,"",(H24-E24)/H24)</f>
      </c>
      <c r="K24" s="8">
        <f>IF(H24=0,"",H24-E24)</f>
      </c>
    </row>
    <row x14ac:dyDescent="0.25" r="25" customHeight="1" ht="17.25">
      <c r="A25" s="6" t="s">
        <v>34</v>
      </c>
      <c r="B25" s="3" t="s">
        <v>35</v>
      </c>
      <c r="C25" s="6" t="s">
        <v>36</v>
      </c>
      <c r="D25" s="6" t="s">
        <v>14</v>
      </c>
      <c r="E25" s="7">
        <v>90</v>
      </c>
      <c r="F25" s="6"/>
      <c r="G25" s="6"/>
      <c r="H25" s="8">
        <f>F25*(1-IFERROR(G25,0)/100)</f>
      </c>
      <c r="I25" s="8">
        <f>H25*1.25</f>
      </c>
      <c r="J25" s="8">
        <f>IF(H25=0,"",(H25-E25)/H25)</f>
      </c>
      <c r="K25" s="8">
        <f>IF(H25=0,"",H25-E25)</f>
      </c>
    </row>
    <row x14ac:dyDescent="0.25" r="26" customHeight="1" ht="17.25">
      <c r="A26" s="6" t="s">
        <v>34</v>
      </c>
      <c r="B26" s="3" t="s">
        <v>35</v>
      </c>
      <c r="C26" s="6" t="s">
        <v>29</v>
      </c>
      <c r="D26" s="6" t="s">
        <v>14</v>
      </c>
      <c r="E26" s="7">
        <v>255</v>
      </c>
      <c r="F26" s="6"/>
      <c r="G26" s="6"/>
      <c r="H26" s="8">
        <f>F26*(1-IFERROR(G26,0)/100)</f>
      </c>
      <c r="I26" s="8">
        <f>H26*1.25</f>
      </c>
      <c r="J26" s="8">
        <f>IF(H26=0,"",(H26-E26)/H26)</f>
      </c>
      <c r="K26" s="8">
        <f>IF(H26=0,"",H26-E26)</f>
      </c>
    </row>
    <row x14ac:dyDescent="0.25" r="27" customHeight="1" ht="17.25">
      <c r="A27" s="6" t="s">
        <v>34</v>
      </c>
      <c r="B27" s="3" t="s">
        <v>37</v>
      </c>
      <c r="C27" s="6" t="s">
        <v>15</v>
      </c>
      <c r="D27" s="6" t="s">
        <v>14</v>
      </c>
      <c r="E27" s="7">
        <v>410</v>
      </c>
      <c r="F27" s="6"/>
      <c r="G27" s="6"/>
      <c r="H27" s="8">
        <f>F27*(1-IFERROR(G27,0)/100)</f>
      </c>
      <c r="I27" s="8">
        <f>H27*1.25</f>
      </c>
      <c r="J27" s="8">
        <f>IF(H27=0,"",(H27-E27)/H27)</f>
      </c>
      <c r="K27" s="8">
        <f>IF(H27=0,"",H27-E27)</f>
      </c>
    </row>
    <row x14ac:dyDescent="0.25" r="28" customHeight="1" ht="17.25">
      <c r="A28" s="6" t="s">
        <v>38</v>
      </c>
      <c r="B28" s="3" t="s">
        <v>39</v>
      </c>
      <c r="C28" s="6" t="s">
        <v>21</v>
      </c>
      <c r="D28" s="6" t="s">
        <v>14</v>
      </c>
      <c r="E28" s="7">
        <v>125</v>
      </c>
      <c r="F28" s="6"/>
      <c r="G28" s="6"/>
      <c r="H28" s="8">
        <f>F28*(1-IFERROR(G28,0)/100)</f>
      </c>
      <c r="I28" s="8">
        <f>H28*1.25</f>
      </c>
      <c r="J28" s="8">
        <f>IF(H28=0,"",(H28-E28)/H28)</f>
      </c>
      <c r="K28" s="8">
        <f>IF(H28=0,"",H28-E28)</f>
      </c>
    </row>
    <row x14ac:dyDescent="0.25" r="29" customHeight="1" ht="17.25">
      <c r="A29" s="6" t="s">
        <v>38</v>
      </c>
      <c r="B29" s="3" t="s">
        <v>39</v>
      </c>
      <c r="C29" s="6" t="s">
        <v>13</v>
      </c>
      <c r="D29" s="6" t="s">
        <v>14</v>
      </c>
      <c r="E29" s="7">
        <v>225</v>
      </c>
      <c r="F29" s="6"/>
      <c r="G29" s="6"/>
      <c r="H29" s="8">
        <f>F29*(1-IFERROR(G29,0)/100)</f>
      </c>
      <c r="I29" s="8">
        <f>H29*1.25</f>
      </c>
      <c r="J29" s="8">
        <f>IF(H29=0,"",(H29-E29)/H29)</f>
      </c>
      <c r="K29" s="8">
        <f>IF(H29=0,"",H29-E29)</f>
      </c>
    </row>
    <row x14ac:dyDescent="0.25" r="30" customHeight="1" ht="17.25">
      <c r="A30" s="6" t="s">
        <v>38</v>
      </c>
      <c r="B30" s="3" t="s">
        <v>40</v>
      </c>
      <c r="C30" s="6" t="s">
        <v>13</v>
      </c>
      <c r="D30" s="6" t="s">
        <v>14</v>
      </c>
      <c r="E30" s="7">
        <v>250</v>
      </c>
      <c r="F30" s="6"/>
      <c r="G30" s="6"/>
      <c r="H30" s="8">
        <f>F30*(1-IFERROR(G30,0)/100)</f>
      </c>
      <c r="I30" s="8">
        <f>H30*1.25</f>
      </c>
      <c r="J30" s="8">
        <f>IF(H30=0,"",(H30-E30)/H30)</f>
      </c>
      <c r="K30" s="8">
        <f>IF(H30=0,"",H30-E30)</f>
      </c>
    </row>
    <row x14ac:dyDescent="0.25" r="31" customHeight="1" ht="17.25">
      <c r="A31" s="6" t="s">
        <v>38</v>
      </c>
      <c r="B31" s="3" t="s">
        <v>41</v>
      </c>
      <c r="C31" s="6" t="s">
        <v>13</v>
      </c>
      <c r="D31" s="6" t="s">
        <v>14</v>
      </c>
      <c r="E31" s="7">
        <v>175</v>
      </c>
      <c r="F31" s="6"/>
      <c r="G31" s="6"/>
      <c r="H31" s="8">
        <f>F31*(1-IFERROR(G31,0)/100)</f>
      </c>
      <c r="I31" s="8">
        <f>H31*1.25</f>
      </c>
      <c r="J31" s="8">
        <f>IF(H31=0,"",(H31-E31)/H31)</f>
      </c>
      <c r="K31" s="8">
        <f>IF(H31=0,"",H31-E31)</f>
      </c>
    </row>
    <row x14ac:dyDescent="0.25" r="32" customHeight="1" ht="17.25">
      <c r="A32" s="6" t="s">
        <v>38</v>
      </c>
      <c r="B32" s="3" t="s">
        <v>42</v>
      </c>
      <c r="C32" s="6" t="s">
        <v>13</v>
      </c>
      <c r="D32" s="6" t="s">
        <v>14</v>
      </c>
      <c r="E32" s="7">
        <v>175</v>
      </c>
      <c r="F32" s="6"/>
      <c r="G32" s="6"/>
      <c r="H32" s="8">
        <f>F32*(1-IFERROR(G32,0)/100)</f>
      </c>
      <c r="I32" s="8">
        <f>H32*1.25</f>
      </c>
      <c r="J32" s="8">
        <f>IF(H32=0,"",(H32-E32)/H32)</f>
      </c>
      <c r="K32" s="8">
        <f>IF(H32=0,"",H32-E32)</f>
      </c>
    </row>
    <row x14ac:dyDescent="0.25" r="33" customHeight="1" ht="17.25">
      <c r="A33" s="6" t="s">
        <v>38</v>
      </c>
      <c r="B33" s="3" t="s">
        <v>43</v>
      </c>
      <c r="C33" s="6" t="s">
        <v>13</v>
      </c>
      <c r="D33" s="6" t="s">
        <v>14</v>
      </c>
      <c r="E33" s="7">
        <v>125</v>
      </c>
      <c r="F33" s="6"/>
      <c r="G33" s="6"/>
      <c r="H33" s="8">
        <f>F33*(1-IFERROR(G33,0)/100)</f>
      </c>
      <c r="I33" s="8">
        <f>H33*1.25</f>
      </c>
      <c r="J33" s="8">
        <f>IF(H33=0,"",(H33-E33)/H33)</f>
      </c>
      <c r="K33" s="8">
        <f>IF(H33=0,"",H33-E33)</f>
      </c>
    </row>
    <row x14ac:dyDescent="0.25" r="34" customHeight="1" ht="17.25">
      <c r="A34" s="6" t="s">
        <v>38</v>
      </c>
      <c r="B34" s="3" t="s">
        <v>44</v>
      </c>
      <c r="C34" s="6" t="s">
        <v>21</v>
      </c>
      <c r="D34" s="6" t="s">
        <v>14</v>
      </c>
      <c r="E34" s="7">
        <v>100</v>
      </c>
      <c r="F34" s="6"/>
      <c r="G34" s="6"/>
      <c r="H34" s="8">
        <f>F34*(1-IFERROR(G34,0)/100)</f>
      </c>
      <c r="I34" s="8">
        <f>H34*1.25</f>
      </c>
      <c r="J34" s="8">
        <f>IF(H34=0,"",(H34-E34)/H34)</f>
      </c>
      <c r="K34" s="8">
        <f>IF(H34=0,"",H34-E34)</f>
      </c>
    </row>
    <row x14ac:dyDescent="0.25" r="35" customHeight="1" ht="17.25">
      <c r="A35" s="6" t="s">
        <v>38</v>
      </c>
      <c r="B35" s="3" t="s">
        <v>44</v>
      </c>
      <c r="C35" s="6" t="s">
        <v>13</v>
      </c>
      <c r="D35" s="6" t="s">
        <v>14</v>
      </c>
      <c r="E35" s="7">
        <v>175</v>
      </c>
      <c r="F35" s="6"/>
      <c r="G35" s="6"/>
      <c r="H35" s="8">
        <f>F35*(1-IFERROR(G35,0)/100)</f>
      </c>
      <c r="I35" s="8">
        <f>H35*1.25</f>
      </c>
      <c r="J35" s="8">
        <f>IF(H35=0,"",(H35-E35)/H35)</f>
      </c>
      <c r="K35" s="8">
        <f>IF(H35=0,"",H35-E35)</f>
      </c>
    </row>
    <row x14ac:dyDescent="0.25" r="36" customHeight="1" ht="17.25">
      <c r="A36" s="6" t="s">
        <v>38</v>
      </c>
      <c r="B36" s="3" t="s">
        <v>45</v>
      </c>
      <c r="C36" s="6" t="s">
        <v>13</v>
      </c>
      <c r="D36" s="6" t="s">
        <v>14</v>
      </c>
      <c r="E36" s="7">
        <v>225</v>
      </c>
      <c r="F36" s="6"/>
      <c r="G36" s="6"/>
      <c r="H36" s="8">
        <f>F36*(1-IFERROR(G36,0)/100)</f>
      </c>
      <c r="I36" s="8">
        <f>H36*1.25</f>
      </c>
      <c r="J36" s="8">
        <f>IF(H36=0,"",(H36-E36)/H36)</f>
      </c>
      <c r="K36" s="8">
        <f>IF(H36=0,"",H36-E36)</f>
      </c>
    </row>
    <row x14ac:dyDescent="0.25" r="37" customHeight="1" ht="17.25">
      <c r="A37" s="6" t="s">
        <v>38</v>
      </c>
      <c r="B37" s="3" t="s">
        <v>46</v>
      </c>
      <c r="C37" s="6" t="s">
        <v>13</v>
      </c>
      <c r="D37" s="6" t="s">
        <v>14</v>
      </c>
      <c r="E37" s="7">
        <v>225</v>
      </c>
      <c r="F37" s="6"/>
      <c r="G37" s="6"/>
      <c r="H37" s="8">
        <f>F37*(1-IFERROR(G37,0)/100)</f>
      </c>
      <c r="I37" s="8">
        <f>H37*1.25</f>
      </c>
      <c r="J37" s="8">
        <f>IF(H37=0,"",(H37-E37)/H37)</f>
      </c>
      <c r="K37" s="8">
        <f>IF(H37=0,"",H37-E37)</f>
      </c>
    </row>
    <row x14ac:dyDescent="0.25" r="38" customHeight="1" ht="17.25">
      <c r="A38" s="6" t="s">
        <v>47</v>
      </c>
      <c r="B38" s="3" t="s">
        <v>48</v>
      </c>
      <c r="C38" s="6" t="s">
        <v>13</v>
      </c>
      <c r="D38" s="6" t="s">
        <v>14</v>
      </c>
      <c r="E38" s="7">
        <v>250</v>
      </c>
      <c r="F38" s="6"/>
      <c r="G38" s="6"/>
      <c r="H38" s="8">
        <f>F38*(1-IFERROR(G38,0)/100)</f>
      </c>
      <c r="I38" s="8">
        <f>H38*1.25</f>
      </c>
      <c r="J38" s="8">
        <f>IF(H38=0,"",(H38-E38)/H38)</f>
      </c>
      <c r="K38" s="8">
        <f>IF(H38=0,"",H38-E38)</f>
      </c>
    </row>
    <row x14ac:dyDescent="0.25" r="39" customHeight="1" ht="17.25">
      <c r="A39" s="6" t="s">
        <v>47</v>
      </c>
      <c r="B39" s="3" t="s">
        <v>48</v>
      </c>
      <c r="C39" s="6" t="s">
        <v>15</v>
      </c>
      <c r="D39" s="6" t="s">
        <v>14</v>
      </c>
      <c r="E39" s="7">
        <v>400</v>
      </c>
      <c r="F39" s="6"/>
      <c r="G39" s="6"/>
      <c r="H39" s="8">
        <f>F39*(1-IFERROR(G39,0)/100)</f>
      </c>
      <c r="I39" s="8">
        <f>H39*1.25</f>
      </c>
      <c r="J39" s="8">
        <f>IF(H39=0,"",(H39-E39)/H39)</f>
      </c>
      <c r="K39" s="8">
        <f>IF(H39=0,"",H39-E39)</f>
      </c>
    </row>
    <row x14ac:dyDescent="0.25" r="40" customHeight="1" ht="17.25">
      <c r="A40" s="6" t="s">
        <v>47</v>
      </c>
      <c r="B40" s="3" t="s">
        <v>49</v>
      </c>
      <c r="C40" s="6" t="s">
        <v>15</v>
      </c>
      <c r="D40" s="6" t="s">
        <v>14</v>
      </c>
      <c r="E40" s="7">
        <v>300</v>
      </c>
      <c r="F40" s="6"/>
      <c r="G40" s="6"/>
      <c r="H40" s="8">
        <f>F40*(1-IFERROR(G40,0)/100)</f>
      </c>
      <c r="I40" s="8">
        <f>H40*1.25</f>
      </c>
      <c r="J40" s="8">
        <f>IF(H40=0,"",(H40-E40)/H40)</f>
      </c>
      <c r="K40" s="8">
        <f>IF(H40=0,"",H40-E40)</f>
      </c>
    </row>
    <row x14ac:dyDescent="0.25" r="41" customHeight="1" ht="17.25">
      <c r="A41" s="6" t="s">
        <v>47</v>
      </c>
      <c r="B41" s="3" t="s">
        <v>50</v>
      </c>
      <c r="C41" s="6" t="s">
        <v>15</v>
      </c>
      <c r="D41" s="6" t="s">
        <v>14</v>
      </c>
      <c r="E41" s="7">
        <v>350</v>
      </c>
      <c r="F41" s="6"/>
      <c r="G41" s="6"/>
      <c r="H41" s="8">
        <f>F41*(1-IFERROR(G41,0)/100)</f>
      </c>
      <c r="I41" s="8">
        <f>H41*1.25</f>
      </c>
      <c r="J41" s="8">
        <f>IF(H41=0,"",(H41-E41)/H41)</f>
      </c>
      <c r="K41" s="8">
        <f>IF(H41=0,"",H41-E41)</f>
      </c>
    </row>
    <row x14ac:dyDescent="0.25" r="42" customHeight="1" ht="17.25">
      <c r="A42" s="6" t="s">
        <v>47</v>
      </c>
      <c r="B42" s="3" t="s">
        <v>51</v>
      </c>
      <c r="C42" s="6" t="s">
        <v>25</v>
      </c>
      <c r="D42" s="6" t="s">
        <v>14</v>
      </c>
      <c r="E42" s="7">
        <v>600</v>
      </c>
      <c r="F42" s="6"/>
      <c r="G42" s="6"/>
      <c r="H42" s="8">
        <f>F42*(1-IFERROR(G42,0)/100)</f>
      </c>
      <c r="I42" s="8">
        <f>H42*1.25</f>
      </c>
      <c r="J42" s="8">
        <f>IF(H42=0,"",(H42-E42)/H42)</f>
      </c>
      <c r="K42" s="8">
        <f>IF(H42=0,"",H42-E42)</f>
      </c>
    </row>
    <row x14ac:dyDescent="0.25" r="43" customHeight="1" ht="17.25">
      <c r="A43" s="6" t="s">
        <v>47</v>
      </c>
      <c r="B43" s="3" t="s">
        <v>52</v>
      </c>
      <c r="C43" s="6" t="s">
        <v>25</v>
      </c>
      <c r="D43" s="6" t="s">
        <v>14</v>
      </c>
      <c r="E43" s="7">
        <v>600</v>
      </c>
      <c r="F43" s="6"/>
      <c r="G43" s="6"/>
      <c r="H43" s="8">
        <f>F43*(1-IFERROR(G43,0)/100)</f>
      </c>
      <c r="I43" s="8">
        <f>H43*1.25</f>
      </c>
      <c r="J43" s="8">
        <f>IF(H43=0,"",(H43-E43)/H43)</f>
      </c>
      <c r="K43" s="8">
        <f>IF(H43=0,"",H43-E43)</f>
      </c>
    </row>
    <row x14ac:dyDescent="0.25" r="44" customHeight="1" ht="17.25">
      <c r="A44" s="6" t="s">
        <v>47</v>
      </c>
      <c r="B44" s="3" t="s">
        <v>53</v>
      </c>
      <c r="C44" s="6" t="s">
        <v>25</v>
      </c>
      <c r="D44" s="6" t="s">
        <v>14</v>
      </c>
      <c r="E44" s="7">
        <v>800</v>
      </c>
      <c r="F44" s="6"/>
      <c r="G44" s="6"/>
      <c r="H44" s="8">
        <f>F44*(1-IFERROR(G44,0)/100)</f>
      </c>
      <c r="I44" s="8">
        <f>H44*1.25</f>
      </c>
      <c r="J44" s="8">
        <f>IF(H44=0,"",(H44-E44)/H44)</f>
      </c>
      <c r="K44" s="8">
        <f>IF(H44=0,"",H44-E44)</f>
      </c>
    </row>
    <row x14ac:dyDescent="0.25" r="45" customHeight="1" ht="17.25">
      <c r="A45" s="6" t="s">
        <v>47</v>
      </c>
      <c r="B45" s="3" t="s">
        <v>54</v>
      </c>
      <c r="C45" s="6" t="s">
        <v>21</v>
      </c>
      <c r="D45" s="6" t="s">
        <v>14</v>
      </c>
      <c r="E45" s="9">
        <v>87.5</v>
      </c>
      <c r="F45" s="6"/>
      <c r="G45" s="6"/>
      <c r="H45" s="8">
        <f>F45*(1-IFERROR(G45,0)/100)</f>
      </c>
      <c r="I45" s="8">
        <f>H45*1.25</f>
      </c>
      <c r="J45" s="8">
        <f>IF(H45=0,"",(H45-E45)/H45)</f>
      </c>
      <c r="K45" s="8">
        <f>IF(H45=0,"",H45-E45)</f>
      </c>
    </row>
    <row x14ac:dyDescent="0.25" r="46" customHeight="1" ht="17.25">
      <c r="A46" s="6" t="s">
        <v>47</v>
      </c>
      <c r="B46" s="3" t="s">
        <v>54</v>
      </c>
      <c r="C46" s="6" t="s">
        <v>13</v>
      </c>
      <c r="D46" s="6" t="s">
        <v>14</v>
      </c>
      <c r="E46" s="7">
        <v>175</v>
      </c>
      <c r="F46" s="6"/>
      <c r="G46" s="6"/>
      <c r="H46" s="8">
        <f>F46*(1-IFERROR(G46,0)/100)</f>
      </c>
      <c r="I46" s="8">
        <f>H46*1.25</f>
      </c>
      <c r="J46" s="8">
        <f>IF(H46=0,"",(H46-E46)/H46)</f>
      </c>
      <c r="K46" s="8">
        <f>IF(H46=0,"",H46-E46)</f>
      </c>
    </row>
    <row x14ac:dyDescent="0.25" r="47" customHeight="1" ht="17.25">
      <c r="A47" s="6" t="s">
        <v>47</v>
      </c>
      <c r="B47" s="3" t="s">
        <v>55</v>
      </c>
      <c r="C47" s="6" t="s">
        <v>25</v>
      </c>
      <c r="D47" s="6" t="s">
        <v>14</v>
      </c>
      <c r="E47" s="7">
        <v>600</v>
      </c>
      <c r="F47" s="6"/>
      <c r="G47" s="6"/>
      <c r="H47" s="8">
        <f>F47*(1-IFERROR(G47,0)/100)</f>
      </c>
      <c r="I47" s="8">
        <f>H47*1.25</f>
      </c>
      <c r="J47" s="8">
        <f>IF(H47=0,"",(H47-E47)/H47)</f>
      </c>
      <c r="K47" s="8">
        <f>IF(H47=0,"",H47-E47)</f>
      </c>
    </row>
    <row x14ac:dyDescent="0.25" r="48" customHeight="1" ht="17.25">
      <c r="A48" s="6" t="s">
        <v>56</v>
      </c>
      <c r="B48" s="3" t="s">
        <v>57</v>
      </c>
      <c r="C48" s="6" t="s">
        <v>13</v>
      </c>
      <c r="D48" s="6" t="s">
        <v>14</v>
      </c>
      <c r="E48" s="7">
        <v>50</v>
      </c>
      <c r="F48" s="6"/>
      <c r="G48" s="6"/>
      <c r="H48" s="8">
        <f>F48*(1-IFERROR(G48,0)/100)</f>
      </c>
      <c r="I48" s="8">
        <f>H48*1.25</f>
      </c>
      <c r="J48" s="8">
        <f>IF(H48=0,"",(H48-E48)/H48)</f>
      </c>
      <c r="K48" s="8">
        <f>IF(H48=0,"",H48-E48)</f>
      </c>
    </row>
    <row x14ac:dyDescent="0.25" r="49" customHeight="1" ht="17.25">
      <c r="A49" s="6" t="s">
        <v>56</v>
      </c>
      <c r="B49" s="3" t="s">
        <v>58</v>
      </c>
      <c r="C49" s="6" t="s">
        <v>25</v>
      </c>
      <c r="D49" s="6" t="s">
        <v>14</v>
      </c>
      <c r="E49" s="7">
        <v>500</v>
      </c>
      <c r="F49" s="6"/>
      <c r="G49" s="6"/>
      <c r="H49" s="8">
        <f>F49*(1-IFERROR(G49,0)/100)</f>
      </c>
      <c r="I49" s="8">
        <f>H49*1.25</f>
      </c>
      <c r="J49" s="8">
        <f>IF(H49=0,"",(H49-E49)/H49)</f>
      </c>
      <c r="K49" s="8">
        <f>IF(H49=0,"",H49-E49)</f>
      </c>
    </row>
    <row x14ac:dyDescent="0.25" r="50" customHeight="1" ht="17.25">
      <c r="A50" s="6" t="s">
        <v>59</v>
      </c>
      <c r="B50" s="3" t="s">
        <v>60</v>
      </c>
      <c r="C50" s="6" t="s">
        <v>61</v>
      </c>
      <c r="D50" s="6" t="s">
        <v>62</v>
      </c>
      <c r="E50" s="7">
        <v>750</v>
      </c>
      <c r="F50" s="6"/>
      <c r="G50" s="6"/>
      <c r="H50" s="8">
        <f>F50*(1-IFERROR(G50,0)/100)</f>
      </c>
      <c r="I50" s="8">
        <f>H50*1.25</f>
      </c>
      <c r="J50" s="8">
        <f>IF(H50=0,"",(H50-E50)/H50)</f>
      </c>
      <c r="K50" s="8">
        <f>IF(H50=0,"",H50-E50)</f>
      </c>
    </row>
    <row x14ac:dyDescent="0.25" r="51" customHeight="1" ht="17.25">
      <c r="A51" s="6" t="s">
        <v>59</v>
      </c>
      <c r="B51" s="3" t="s">
        <v>63</v>
      </c>
      <c r="C51" s="6" t="s">
        <v>64</v>
      </c>
      <c r="D51" s="6" t="s">
        <v>62</v>
      </c>
      <c r="E51" s="7">
        <v>1150</v>
      </c>
      <c r="F51" s="6"/>
      <c r="G51" s="6"/>
      <c r="H51" s="8">
        <f>F51*(1-IFERROR(G51,0)/100)</f>
      </c>
      <c r="I51" s="8">
        <f>H51*1.25</f>
      </c>
      <c r="J51" s="8">
        <f>IF(H51=0,"",(H51-E51)/H51)</f>
      </c>
      <c r="K51" s="8">
        <f>IF(H51=0,"",H51-E51)</f>
      </c>
    </row>
    <row x14ac:dyDescent="0.25" r="52" customHeight="1" ht="17.25" customFormat="1" s="1">
      <c r="A52" s="2" t="s">
        <v>65</v>
      </c>
      <c r="B52" s="3" t="s">
        <v>66</v>
      </c>
      <c r="C52" s="2" t="s">
        <v>67</v>
      </c>
      <c r="D52" s="2" t="s">
        <v>68</v>
      </c>
      <c r="E52" s="4"/>
      <c r="F52" s="2"/>
      <c r="G52" s="2"/>
      <c r="H52" s="5">
        <f>F52*(1-IFERROR(G52,0)/100)</f>
      </c>
      <c r="I52" s="5">
        <f>H52*1.25</f>
      </c>
      <c r="J52" s="5">
        <f>IF(H52=0,"",(H52-E52)/H52)</f>
      </c>
      <c r="K52" s="5">
        <f>IF(H52=0,"",H52-E52)</f>
      </c>
    </row>
    <row x14ac:dyDescent="0.25" r="53" customHeight="1" ht="17.25" customFormat="1" s="1">
      <c r="A53" s="2" t="s">
        <v>65</v>
      </c>
      <c r="B53" s="3" t="s">
        <v>66</v>
      </c>
      <c r="C53" s="2" t="s">
        <v>69</v>
      </c>
      <c r="D53" s="2" t="s">
        <v>68</v>
      </c>
      <c r="E53" s="4"/>
      <c r="F53" s="2"/>
      <c r="G53" s="2"/>
      <c r="H53" s="5">
        <f>F53*(1-IFERROR(G53,0)/100)</f>
      </c>
      <c r="I53" s="5">
        <f>H53*1.25</f>
      </c>
      <c r="J53" s="5">
        <f>IF(H53=0,"",(H53-E53)/H53)</f>
      </c>
      <c r="K53" s="5">
        <f>IF(H53=0,"",H53-E53)</f>
      </c>
    </row>
    <row x14ac:dyDescent="0.25" r="54" customHeight="1" ht="17.25" customFormat="1" s="1">
      <c r="A54" s="2" t="s">
        <v>65</v>
      </c>
      <c r="B54" s="3" t="s">
        <v>70</v>
      </c>
      <c r="C54" s="2" t="s">
        <v>67</v>
      </c>
      <c r="D54" s="2" t="s">
        <v>68</v>
      </c>
      <c r="E54" s="4"/>
      <c r="F54" s="2"/>
      <c r="G54" s="2"/>
      <c r="H54" s="5">
        <f>F54*(1-IFERROR(G54,0)/100)</f>
      </c>
      <c r="I54" s="5">
        <f>H54*1.25</f>
      </c>
      <c r="J54" s="5">
        <f>IF(H54=0,"",(H54-E54)/H54)</f>
      </c>
      <c r="K54" s="5">
        <f>IF(H54=0,"",H54-E54)</f>
      </c>
    </row>
    <row x14ac:dyDescent="0.25" r="55" customHeight="1" ht="17.25" customFormat="1" s="1">
      <c r="A55" s="2" t="s">
        <v>65</v>
      </c>
      <c r="B55" s="3" t="s">
        <v>70</v>
      </c>
      <c r="C55" s="2" t="s">
        <v>69</v>
      </c>
      <c r="D55" s="2" t="s">
        <v>68</v>
      </c>
      <c r="E55" s="4"/>
      <c r="F55" s="2"/>
      <c r="G55" s="2"/>
      <c r="H55" s="5">
        <f>F55*(1-IFERROR(G55,0)/100)</f>
      </c>
      <c r="I55" s="5">
        <f>H55*1.25</f>
      </c>
      <c r="J55" s="5">
        <f>IF(H55=0,"",(H55-E55)/H55)</f>
      </c>
      <c r="K55" s="5">
        <f>IF(H55=0,"",H55-E55)</f>
      </c>
    </row>
    <row x14ac:dyDescent="0.25" r="56" customHeight="1" ht="17.25" customFormat="1" s="1">
      <c r="A56" s="2" t="s">
        <v>65</v>
      </c>
      <c r="B56" s="3" t="s">
        <v>71</v>
      </c>
      <c r="C56" s="2" t="s">
        <v>72</v>
      </c>
      <c r="D56" s="2" t="s">
        <v>73</v>
      </c>
      <c r="E56" s="4"/>
      <c r="F56" s="2"/>
      <c r="G56" s="2"/>
      <c r="H56" s="5">
        <f>F56*(1-IFERROR(G56,0)/100)</f>
      </c>
      <c r="I56" s="5">
        <f>H56*1.25</f>
      </c>
      <c r="J56" s="5">
        <f>IF(H56=0,"",(H56-E56)/H56)</f>
      </c>
      <c r="K56" s="5">
        <f>IF(H56=0,"",H56-E56)</f>
      </c>
    </row>
    <row x14ac:dyDescent="0.25" r="57" customHeight="1" ht="17.25" customFormat="1" s="1">
      <c r="A57" s="2" t="s">
        <v>65</v>
      </c>
      <c r="B57" s="3" t="s">
        <v>71</v>
      </c>
      <c r="C57" s="2" t="s">
        <v>74</v>
      </c>
      <c r="D57" s="2" t="s">
        <v>73</v>
      </c>
      <c r="E57" s="4"/>
      <c r="F57" s="2"/>
      <c r="G57" s="2"/>
      <c r="H57" s="5">
        <f>F57*(1-IFERROR(G57,0)/100)</f>
      </c>
      <c r="I57" s="5">
        <f>H57*1.25</f>
      </c>
      <c r="J57" s="5">
        <f>IF(H57=0,"",(H57-E57)/H57)</f>
      </c>
      <c r="K57" s="5">
        <f>IF(H57=0,"",H57-E57)</f>
      </c>
    </row>
    <row x14ac:dyDescent="0.25" r="58" customHeight="1" ht="17.25" customFormat="1" s="1">
      <c r="A58" s="2" t="s">
        <v>65</v>
      </c>
      <c r="B58" s="3" t="s">
        <v>71</v>
      </c>
      <c r="C58" s="2" t="s">
        <v>75</v>
      </c>
      <c r="D58" s="2" t="s">
        <v>73</v>
      </c>
      <c r="E58" s="4"/>
      <c r="F58" s="2"/>
      <c r="G58" s="2"/>
      <c r="H58" s="5">
        <f>F58*(1-IFERROR(G58,0)/100)</f>
      </c>
      <c r="I58" s="5">
        <f>H58*1.25</f>
      </c>
      <c r="J58" s="5">
        <f>IF(H58=0,"",(H58-E58)/H58)</f>
      </c>
      <c r="K58" s="5">
        <f>IF(H58=0,"",H58-E58)</f>
      </c>
    </row>
    <row x14ac:dyDescent="0.25" r="59" customHeight="1" ht="17.25" customFormat="1" s="1">
      <c r="A59" s="2" t="s">
        <v>65</v>
      </c>
      <c r="B59" s="3" t="s">
        <v>76</v>
      </c>
      <c r="C59" s="2" t="s">
        <v>77</v>
      </c>
      <c r="D59" s="2" t="s">
        <v>78</v>
      </c>
      <c r="E59" s="4"/>
      <c r="F59" s="2"/>
      <c r="G59" s="2"/>
      <c r="H59" s="5">
        <f>F59*(1-IFERROR(G59,0)/100)</f>
      </c>
      <c r="I59" s="5">
        <f>H59*1.25</f>
      </c>
      <c r="J59" s="5">
        <f>IF(H59=0,"",(H59-E59)/H59)</f>
      </c>
      <c r="K59" s="5">
        <f>IF(H59=0,"",H59-E59)</f>
      </c>
    </row>
    <row x14ac:dyDescent="0.25" r="60" customHeight="1" ht="17.25" customFormat="1" s="1">
      <c r="A60" s="2" t="s">
        <v>65</v>
      </c>
      <c r="B60" s="3" t="s">
        <v>79</v>
      </c>
      <c r="C60" s="2" t="s">
        <v>29</v>
      </c>
      <c r="D60" s="2" t="s">
        <v>14</v>
      </c>
      <c r="E60" s="4"/>
      <c r="F60" s="2"/>
      <c r="G60" s="2"/>
      <c r="H60" s="5">
        <f>F60*(1-IFERROR(G60,0)/100)</f>
      </c>
      <c r="I60" s="5">
        <f>H60*1.25</f>
      </c>
      <c r="J60" s="5">
        <f>IF(H60=0,"",(H60-E60)/H60)</f>
      </c>
      <c r="K60" s="5">
        <f>IF(H60=0,"",H60-E60)</f>
      </c>
    </row>
    <row x14ac:dyDescent="0.25" r="61" customHeight="1" ht="17.25" customFormat="1" s="1">
      <c r="A61" s="2" t="s">
        <v>65</v>
      </c>
      <c r="B61" s="3" t="s">
        <v>79</v>
      </c>
      <c r="C61" s="2" t="s">
        <v>80</v>
      </c>
      <c r="D61" s="2" t="s">
        <v>14</v>
      </c>
      <c r="E61" s="4"/>
      <c r="F61" s="2"/>
      <c r="G61" s="2"/>
      <c r="H61" s="5">
        <f>F61*(1-IFERROR(G61,0)/100)</f>
      </c>
      <c r="I61" s="5">
        <f>H61*1.25</f>
      </c>
      <c r="J61" s="5">
        <f>IF(H61=0,"",(H61-E61)/H61)</f>
      </c>
      <c r="K61" s="5">
        <f>IF(H61=0,"",H61-E61)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Sortiment v1.2 - Auto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2026-04-18T19:30:27.012Z</dcterms:created>
  <dcterms:modified xsi:type="dcterms:W3CDTF">2026-04-18T19:30:27.012Z</dcterms:modified>
</cp:coreProperties>
</file>