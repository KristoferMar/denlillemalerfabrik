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summering" sheetId="1" state="visible" r:id="rId3"/>
    <sheet name="Prisanalyse" sheetId="2" state="visible" r:id="rId4"/>
    <sheet name="Forudsætninger" sheetId="3" state="visible" r:id="rId5"/>
  </sheets>
  <definedNames>
    <definedName function="false" hidden="true" localSheetId="1" name="_xlnm._FilterDatabase" vbProcedure="false">Prisanalyse!$A$1:$N$305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<sst xmlns="http://schemas.openxmlformats.org/spreadsheetml/2006/main" count="1640" uniqueCount="873">
  <si>
    <t xml:space="preserve">Prisanalyse – Lars Frey-sortimentet</t>
  </si>
  <si>
    <t xml:space="preserve">Shopify-priser pr. 2. sep 2026 (efter dagens hævning af KRITISK-gruppen) mod leverandørens kostpriser. Alle 304 varianter på fanen Prisanalyse; moms og målavance på Forudsætninger.</t>
  </si>
  <si>
    <t xml:space="preserve">Prioritet</t>
  </si>
  <si>
    <t xml:space="preserve">Antal varianter</t>
  </si>
  <si>
    <t xml:space="preserve">Betydning</t>
  </si>
  <si>
    <t xml:space="preserve">KRITISK</t>
  </si>
  <si>
    <t xml:space="preserve">Sælges under kostpris / 0 kr</t>
  </si>
  <si>
    <t xml:space="preserve">HØJ</t>
  </si>
  <si>
    <t xml:space="preserve">Under 20 % avance – næste runde</t>
  </si>
  <si>
    <t xml:space="preserve">MIDDEL</t>
  </si>
  <si>
    <t xml:space="preserve">20–35 % avance – vurdér produkt for produkt</t>
  </si>
  <si>
    <t xml:space="preserve">OK</t>
  </si>
  <si>
    <t xml:space="preserve">35 %+ – lad stå</t>
  </si>
  <si>
    <t xml:space="preserve">UKENDT</t>
  </si>
  <si>
    <t xml:space="preserve">Ingen kostpris fundet – slå op hos leverandøren</t>
  </si>
  <si>
    <t xml:space="preserve">Median-avance i dag (varianter med kostpris)</t>
  </si>
  <si>
    <t xml:space="preserve">Median-avance efter foreslåede priser</t>
  </si>
  <si>
    <t xml:space="preserve">Pr. kategori</t>
  </si>
  <si>
    <t xml:space="preserve">Kategori</t>
  </si>
  <si>
    <t xml:space="preserve">Varianter</t>
  </si>
  <si>
    <t xml:space="preserve">Heraf HØJ</t>
  </si>
  <si>
    <t xml:space="preserve">Heraf MIDDEL</t>
  </si>
  <si>
    <t xml:space="preserve">Afdækning</t>
  </si>
  <si>
    <t xml:space="preserve">Anstrygere</t>
  </si>
  <si>
    <t xml:space="preserve">Diverse</t>
  </si>
  <si>
    <t xml:space="preserve">Handsker</t>
  </si>
  <si>
    <t xml:space="preserve">Malerbakker</t>
  </si>
  <si>
    <t xml:space="preserve">Pensler</t>
  </si>
  <si>
    <t xml:space="preserve">Rullehåndtag</t>
  </si>
  <si>
    <t xml:space="preserve">Ruller</t>
  </si>
  <si>
    <t xml:space="preserve">Sandpapir</t>
  </si>
  <si>
    <t xml:space="preserve">Spartler</t>
  </si>
  <si>
    <t xml:space="preserve">Tape</t>
  </si>
  <si>
    <t xml:space="preserve">Tilbehør</t>
  </si>
  <si>
    <t xml:space="preserve">Produkt</t>
  </si>
  <si>
    <t xml:space="preserve">Variant</t>
  </si>
  <si>
    <t xml:space="preserve">SKU</t>
  </si>
  <si>
    <t xml:space="preserve">Pris i dag (inkl. moms)</t>
  </si>
  <si>
    <t xml:space="preserve">Pris ekskl. moms</t>
  </si>
  <si>
    <t xml:space="preserve">Kostpris ekskl. moms</t>
  </si>
  <si>
    <t xml:space="preserve">Avance i dag</t>
  </si>
  <si>
    <t xml:space="preserve">Foreslået pris (inkl. moms)</t>
  </si>
  <si>
    <t xml:space="preserve">Stigning</t>
  </si>
  <si>
    <t xml:space="preserve">Ny avance</t>
  </si>
  <si>
    <t xml:space="preserve">Leverandørens varenavn</t>
  </si>
  <si>
    <t xml:space="preserve">Note</t>
  </si>
  <si>
    <t xml:space="preserve">Washi-Tec Sensitive | Tape</t>
  </si>
  <si>
    <t xml:space="preserve">48 mm</t>
  </si>
  <si>
    <t xml:space="preserve">309-48</t>
  </si>
  <si>
    <t xml:space="preserve">Kip Washi-Tec Sensitive Malertape 48 mm x 50 meter. 20stk/kolli.</t>
  </si>
  <si>
    <t xml:space="preserve">Fladpensel</t>
  </si>
  <si>
    <t xml:space="preserve">40 mm</t>
  </si>
  <si>
    <t xml:space="preserve">52-FACILE/40</t>
  </si>
  <si>
    <t xml:space="preserve">Pronelli. Fladpensel 40mm Mix/plastskaft.</t>
  </si>
  <si>
    <t xml:space="preserve">70 mm</t>
  </si>
  <si>
    <t xml:space="preserve">52-FACILE/70</t>
  </si>
  <si>
    <t xml:space="preserve">Pronelli. Fladpensel 70mm Mix/plastskaft.</t>
  </si>
  <si>
    <t xml:space="preserve">Anstryger | Natur</t>
  </si>
  <si>
    <t xml:space="preserve">70x170 mm</t>
  </si>
  <si>
    <t xml:space="preserve">52-254/70170</t>
  </si>
  <si>
    <t xml:space="preserve">Gamma Anstryger Naturbørste m/Softgrib 70x170mm - 604581</t>
  </si>
  <si>
    <t xml:space="preserve">Ultra Sharp Red | Tape</t>
  </si>
  <si>
    <t xml:space="preserve">24 mm</t>
  </si>
  <si>
    <t xml:space="preserve">3301-24</t>
  </si>
  <si>
    <t xml:space="preserve">ULTRA SHARP RED 24X50MM 36STK/KOLLI.</t>
  </si>
  <si>
    <t xml:space="preserve">Projekt Washi UV tape | Tape</t>
  </si>
  <si>
    <t xml:space="preserve">508-48</t>
  </si>
  <si>
    <t xml:space="preserve">Projekt Washi UV TAPE. 48MMX50M 36. 20STK/KOLLI.</t>
  </si>
  <si>
    <t xml:space="preserve">60 mm</t>
  </si>
  <si>
    <t xml:space="preserve">52-FACILE/60</t>
  </si>
  <si>
    <t xml:space="preserve">Pronelli. Fladpensel 60mm Mix/plastskaft.</t>
  </si>
  <si>
    <t xml:space="preserve">Facadepensel | Mix</t>
  </si>
  <si>
    <t xml:space="preserve">120mm</t>
  </si>
  <si>
    <t xml:space="preserve">52-212/312</t>
  </si>
  <si>
    <t xml:space="preserve">Gamma Anstryge mix børster 3x312</t>
  </si>
  <si>
    <t xml:space="preserve">Washi Tape Premium | Tape</t>
  </si>
  <si>
    <t xml:space="preserve">3808-24</t>
  </si>
  <si>
    <t xml:space="preserve">WASHI TAPE PREMIUM 24X50MM 36STK/KOLLI.</t>
  </si>
  <si>
    <t xml:space="preserve">20 mm</t>
  </si>
  <si>
    <t xml:space="preserve">52-FACILE/20</t>
  </si>
  <si>
    <t xml:space="preserve">Pronelli. Fladpensel 20mm Mix/plastskaft.</t>
  </si>
  <si>
    <t xml:space="preserve">Hobbykniv</t>
  </si>
  <si>
    <t xml:space="preserve">18mm (48 stk.)</t>
  </si>
  <si>
    <t xml:space="preserve">811502K</t>
  </si>
  <si>
    <t xml:space="preserve">Cutter Kniv 18mm. MK. 48 stk/pr kasse.</t>
  </si>
  <si>
    <t xml:space="preserve">18mm (6 stk.)</t>
  </si>
  <si>
    <t xml:space="preserve">816920SB</t>
  </si>
  <si>
    <t xml:space="preserve">Cutter Kniv Premium 18mm. MK. 6 stk/pr kasse.</t>
  </si>
  <si>
    <t xml:space="preserve">Vestan hvid | Ruller</t>
  </si>
  <si>
    <t xml:space="preserve">25 cm</t>
  </si>
  <si>
    <t xml:space="preserve">701527</t>
  </si>
  <si>
    <t xml:space="preserve">Vestan Vægrulle 25cm Hvid . MK</t>
  </si>
  <si>
    <t xml:space="preserve">Selvklæbende 37 my plastikfolie | Afdækning</t>
  </si>
  <si>
    <t xml:space="preserve">500 mm</t>
  </si>
  <si>
    <t xml:space="preserve">3813-31</t>
  </si>
  <si>
    <t xml:space="preserve">Schutzfolie BLÅ 500mmx100mm 6rl/k. 37my</t>
  </si>
  <si>
    <t xml:space="preserve">1000 mm</t>
  </si>
  <si>
    <t xml:space="preserve">3813-32</t>
  </si>
  <si>
    <t xml:space="preserve">Schutzfolie BLÅ 1000mmx100mm 6rl/k 37my.</t>
  </si>
  <si>
    <t xml:space="preserve">Fladpensel | Gemini</t>
  </si>
  <si>
    <t xml:space="preserve">20mm</t>
  </si>
  <si>
    <t xml:space="preserve">52-TINGO/20F1</t>
  </si>
  <si>
    <t xml:space="preserve">Pronelli Gemini. Fladpensel 20mm</t>
  </si>
  <si>
    <t xml:space="preserve">750 mm</t>
  </si>
  <si>
    <t xml:space="preserve">3813-37</t>
  </si>
  <si>
    <t xml:space="preserve">Schutzfolie BLÅ 750mmx100mm 3rl/k. 37my.</t>
  </si>
  <si>
    <t xml:space="preserve">250 mm</t>
  </si>
  <si>
    <t xml:space="preserve">3813-33</t>
  </si>
  <si>
    <t xml:space="preserve">Schutzfolie BLÅ 250mmx100mm 12rl/k. 37my.</t>
  </si>
  <si>
    <t xml:space="preserve">Jumbopensel ECO</t>
  </si>
  <si>
    <t xml:space="preserve">70mm</t>
  </si>
  <si>
    <t xml:space="preserve">52-292ECO/70F1</t>
  </si>
  <si>
    <t xml:space="preserve">ProNelli Jumbo 70 ECO</t>
  </si>
  <si>
    <t xml:space="preserve">508-24</t>
  </si>
  <si>
    <t xml:space="preserve">Projekt Washi UV TAPE. 24MMX50M 36STK/KOLLI.</t>
  </si>
  <si>
    <t xml:space="preserve">Beton tape | Tape</t>
  </si>
  <si>
    <t xml:space="preserve">44 mm</t>
  </si>
  <si>
    <t xml:space="preserve">358-44</t>
  </si>
  <si>
    <t xml:space="preserve">BETON TAPE FLEKSIBEL 44MMX50M. 24 STK/KOLLI</t>
  </si>
  <si>
    <t xml:space="preserve">Sandpapir D126, 2 m | Slibepapir</t>
  </si>
  <si>
    <t xml:space="preserve">Korn 40</t>
  </si>
  <si>
    <t xml:space="preserve">15560</t>
  </si>
  <si>
    <t xml:space="preserve">Sandpapir 115mm x 2m. Korn 40. D126.</t>
  </si>
  <si>
    <t xml:space="preserve">Korn 60</t>
  </si>
  <si>
    <t xml:space="preserve">15561</t>
  </si>
  <si>
    <t xml:space="preserve">Sandpapir 115mm x 2m. Korn 60. D126.</t>
  </si>
  <si>
    <t xml:space="preserve">Korn 80</t>
  </si>
  <si>
    <t xml:space="preserve">15562</t>
  </si>
  <si>
    <t xml:space="preserve">Sandpapir 115mm x 2m. Korn 80. D126.</t>
  </si>
  <si>
    <t xml:space="preserve">Korn 100</t>
  </si>
  <si>
    <t xml:space="preserve">15563</t>
  </si>
  <si>
    <t xml:space="preserve">Sandpapir 115mm x 2m. Korn 100. D126.</t>
  </si>
  <si>
    <t xml:space="preserve">Korn 120</t>
  </si>
  <si>
    <t xml:space="preserve">15564</t>
  </si>
  <si>
    <t xml:space="preserve">Sandpapir 115mm x 2m. Korn 120. D126.</t>
  </si>
  <si>
    <t xml:space="preserve">Korn 150</t>
  </si>
  <si>
    <t xml:space="preserve">15565</t>
  </si>
  <si>
    <t xml:space="preserve">Sandpapir 115mm x 2m. Korn 150. D126.</t>
  </si>
  <si>
    <t xml:space="preserve">Korn 180</t>
  </si>
  <si>
    <t xml:space="preserve">15566</t>
  </si>
  <si>
    <t xml:space="preserve">Sandpapir 115mm x 2m. Korn 180. D126.</t>
  </si>
  <si>
    <t xml:space="preserve">Korn 240</t>
  </si>
  <si>
    <t xml:space="preserve">15567</t>
  </si>
  <si>
    <t xml:space="preserve">Sandpapir 115mm x 2m. Korn 240. D126.</t>
  </si>
  <si>
    <t xml:space="preserve">Penselsæt</t>
  </si>
  <si>
    <t xml:space="preserve">30 mm</t>
  </si>
  <si>
    <t xml:space="preserve">52-9139</t>
  </si>
  <si>
    <t xml:space="preserve">ProNelli Penselsæt 30-50-70. Gult håndtag med lyse synt. børster.</t>
  </si>
  <si>
    <t xml:space="preserve">60mm</t>
  </si>
  <si>
    <t xml:space="preserve">52-TINGO/60F1</t>
  </si>
  <si>
    <t xml:space="preserve">Pronelli Gemini. Fladpensel 60mm.</t>
  </si>
  <si>
    <t xml:space="preserve">36 mm</t>
  </si>
  <si>
    <t xml:space="preserve">309-36</t>
  </si>
  <si>
    <t xml:space="preserve">Kip Washi-Tec Sensitive Malertape 36 mm x 50 meter. 24stk/kolli</t>
  </si>
  <si>
    <t xml:space="preserve">Håndtag 10 cm | Håndtag</t>
  </si>
  <si>
    <t xml:space="preserve">10 cm L</t>
  </si>
  <si>
    <t xml:space="preserve">1062-366</t>
  </si>
  <si>
    <t xml:space="preserve">Pronelli Håndtag 10cm. Lang.</t>
  </si>
  <si>
    <t xml:space="preserve">18 cm</t>
  </si>
  <si>
    <t xml:space="preserve">700518</t>
  </si>
  <si>
    <t xml:space="preserve">Vestan Hvid Rulle 18cm</t>
  </si>
  <si>
    <t xml:space="preserve">Tapetbørste naturhår</t>
  </si>
  <si>
    <t xml:space="preserve">330x28 mm</t>
  </si>
  <si>
    <t xml:space="preserve">803832</t>
  </si>
  <si>
    <t xml:space="preserve">Tapetbørste Naturhår. 330x28mm</t>
  </si>
  <si>
    <t xml:space="preserve">40mm</t>
  </si>
  <si>
    <t xml:space="preserve">52-TINGO/40F1</t>
  </si>
  <si>
    <t xml:space="preserve">Pronelli Gemini. Fladpensel 40mm</t>
  </si>
  <si>
    <t xml:space="preserve">52-TINGO/70F1</t>
  </si>
  <si>
    <t xml:space="preserve">Pronelli Gemini. Fladpensel 70mm.</t>
  </si>
  <si>
    <t xml:space="preserve">Blue Tex | Ruller</t>
  </si>
  <si>
    <t xml:space="preserve">976925</t>
  </si>
  <si>
    <t xml:space="preserve">Blue-tex Elite 25cm. MK</t>
  </si>
  <si>
    <t xml:space="preserve">10 cm</t>
  </si>
  <si>
    <t xml:space="preserve">725412SB</t>
  </si>
  <si>
    <t xml:space="preserve">Håndtag 10cm. Soft Grib. MK</t>
  </si>
  <si>
    <t xml:space="preserve">Slibeklods, kork | Slibepapir</t>
  </si>
  <si>
    <t xml:space="preserve">70x93 mm</t>
  </si>
  <si>
    <t xml:space="preserve">85912</t>
  </si>
  <si>
    <t xml:space="preserve">Kork slibeklods 70x93mm 10 stk/pk.</t>
  </si>
  <si>
    <t xml:space="preserve">Leverandørpris 31,90 er muligvis pr. 10-pak (uklart på listen) – tjek.</t>
  </si>
  <si>
    <t xml:space="preserve">Håndtag 15-25 cm | Håndtag</t>
  </si>
  <si>
    <t xml:space="preserve">1864-366</t>
  </si>
  <si>
    <t xml:space="preserve">Pronelli Håndtag 18cm.</t>
  </si>
  <si>
    <t xml:space="preserve">1061-366</t>
  </si>
  <si>
    <t xml:space="preserve">Pronelli Håndtag 10cm. B.115gr-N.106gr.</t>
  </si>
  <si>
    <t xml:space="preserve">50mm</t>
  </si>
  <si>
    <t xml:space="preserve">52-TINGO/50F1</t>
  </si>
  <si>
    <t xml:space="preserve">Pronelli Gemini. Fladpensel 50mm</t>
  </si>
  <si>
    <t xml:space="preserve">30mm</t>
  </si>
  <si>
    <t xml:space="preserve">52-TINGO/30F1</t>
  </si>
  <si>
    <t xml:space="preserve">Pronelli Gemini. Fladpensel 30mm</t>
  </si>
  <si>
    <t xml:space="preserve">–</t>
  </si>
  <si>
    <t xml:space="preserve">100002SB</t>
  </si>
  <si>
    <t xml:space="preserve">Penselsæt Fine børster. no 4-10</t>
  </si>
  <si>
    <t xml:space="preserve">973410-10</t>
  </si>
  <si>
    <t xml:space="preserve">Microfiber Blue-tex 10cm/Ø15mm/luv16mm 10 stk pk.</t>
  </si>
  <si>
    <t xml:space="preserve">Leverandørpris 15,77 er muligvis pr. 10-pak (uklart på listen) – tjek.</t>
  </si>
  <si>
    <t xml:space="preserve">Japan spartelsæt</t>
  </si>
  <si>
    <t xml:space="preserve">50-120 mm</t>
  </si>
  <si>
    <t xml:space="preserve">812004SB</t>
  </si>
  <si>
    <t xml:space="preserve">Japanspartel sæt.</t>
  </si>
  <si>
    <t xml:space="preserve">Rullebakkesæt inkl. pensel</t>
  </si>
  <si>
    <t xml:space="preserve">SET724400-05</t>
  </si>
  <si>
    <t xml:space="preserve">Rullebakkesæt bestående af 5 dele. Rulle / pensler mv.</t>
  </si>
  <si>
    <t xml:space="preserve">52-292ECO/50F1</t>
  </si>
  <si>
    <t xml:space="preserve">ProNelli Jumbo 50 ECO</t>
  </si>
  <si>
    <t xml:space="preserve">508-36</t>
  </si>
  <si>
    <t xml:space="preserve">Projekt Washi UV TAPE. 36MMX50M 24STK/KOLLI.</t>
  </si>
  <si>
    <t xml:space="preserve">15 cm</t>
  </si>
  <si>
    <t xml:space="preserve">972915</t>
  </si>
  <si>
    <t xml:space="preserve">Håndtag Sort Grib 15 cm. MK</t>
  </si>
  <si>
    <t xml:space="preserve">Masking tape standard | Tape</t>
  </si>
  <si>
    <t xml:space="preserve">3804-24</t>
  </si>
  <si>
    <t xml:space="preserve">MASKING TAPE STANDARD 24X50MM. 36 STK/KOLLI</t>
  </si>
  <si>
    <t xml:space="preserve">Skumvalse | Ruller</t>
  </si>
  <si>
    <t xml:space="preserve">5 cm</t>
  </si>
  <si>
    <t xml:space="preserve">745206-02</t>
  </si>
  <si>
    <t xml:space="preserve">Skumrulle 5cm, (2stk-pk.) MK</t>
  </si>
  <si>
    <t xml:space="preserve">3808-36</t>
  </si>
  <si>
    <t xml:space="preserve">WASHI TAPE PREMIUM 36X50MM 24STK/KOLLI.</t>
  </si>
  <si>
    <t xml:space="preserve">40-100 mm</t>
  </si>
  <si>
    <t xml:space="preserve">52-9160</t>
  </si>
  <si>
    <t xml:space="preserve">Pronelli Penselsæt. 100-50-40 mm. Blåt håndtag med grå børster.</t>
  </si>
  <si>
    <t xml:space="preserve">3301-36</t>
  </si>
  <si>
    <t xml:space="preserve">ULTRA SHARP RED 36X50MM 24STK/KOLLI.</t>
  </si>
  <si>
    <t xml:space="preserve">Forlængerskaft</t>
  </si>
  <si>
    <t xml:space="preserve">60cm</t>
  </si>
  <si>
    <t xml:space="preserve">765562</t>
  </si>
  <si>
    <t xml:space="preserve">Teleskop 60cm. 6 stk/pk. MK</t>
  </si>
  <si>
    <t xml:space="preserve">Sandpapir D421, 5 m | Slibepapir</t>
  </si>
  <si>
    <t xml:space="preserve">15420</t>
  </si>
  <si>
    <t xml:space="preserve">Sandpapir Korn 40. 100mm x 5m rulle. 421</t>
  </si>
  <si>
    <t xml:space="preserve">15421</t>
  </si>
  <si>
    <t xml:space="preserve">Sandpapir K60 100mm x 5m 421</t>
  </si>
  <si>
    <t xml:space="preserve">15422</t>
  </si>
  <si>
    <t xml:space="preserve">Sandpapir Korn 80. 100mm x 5m rulle. 421</t>
  </si>
  <si>
    <t xml:space="preserve">15423</t>
  </si>
  <si>
    <t xml:space="preserve">Sandpapir Korn 100. 100mm x 5m rulle. 421</t>
  </si>
  <si>
    <t xml:space="preserve">15424</t>
  </si>
  <si>
    <t xml:space="preserve">Sandpapir Korn 120. 100mm x 5m rulle. 421</t>
  </si>
  <si>
    <t xml:space="preserve">15425</t>
  </si>
  <si>
    <t xml:space="preserve">Sandpapir Korn 150. 100mm x 5m rulle. 421</t>
  </si>
  <si>
    <t xml:space="preserve">15426</t>
  </si>
  <si>
    <t xml:space="preserve">Sandpapir Korn 180. 100mm x 5m rulle. 421</t>
  </si>
  <si>
    <t xml:space="preserve">15427</t>
  </si>
  <si>
    <t xml:space="preserve">Sandpapir Korn 240. 100mm x 5m rulle. 421</t>
  </si>
  <si>
    <t xml:space="preserve">Sandpapir D125, 5 m | Slibepapir</t>
  </si>
  <si>
    <t xml:space="preserve">15081</t>
  </si>
  <si>
    <t xml:space="preserve">Sandpapir 115mm x 5m. korn 40. D125</t>
  </si>
  <si>
    <t xml:space="preserve">85562</t>
  </si>
  <si>
    <t xml:space="preserve">Sandpapir 115mm x 5m. korn 60. D125</t>
  </si>
  <si>
    <t xml:space="preserve">85563</t>
  </si>
  <si>
    <t xml:space="preserve">Sandpapir 115mm x 5m. korn 80. D125</t>
  </si>
  <si>
    <t xml:space="preserve">15049</t>
  </si>
  <si>
    <t xml:space="preserve">Sandpapir 115mm x 5m. korn 100. D125</t>
  </si>
  <si>
    <t xml:space="preserve">85564</t>
  </si>
  <si>
    <t xml:space="preserve">Sandpapir 115mm x 5m. korn 120. D125</t>
  </si>
  <si>
    <t xml:space="preserve">15050</t>
  </si>
  <si>
    <t xml:space="preserve">Sandpapir 115mm x 5m. korn 150. D125</t>
  </si>
  <si>
    <t xml:space="preserve">85565</t>
  </si>
  <si>
    <t xml:space="preserve">Sandpapir 115mm x 5m. korn 180. D125</t>
  </si>
  <si>
    <t xml:space="preserve">85566</t>
  </si>
  <si>
    <t xml:space="preserve">Sandpapir 115mm x 5m. korn 240. D125</t>
  </si>
  <si>
    <t xml:space="preserve">Stickpensel | Syntetisk</t>
  </si>
  <si>
    <t xml:space="preserve">304/20</t>
  </si>
  <si>
    <t xml:space="preserve">Pronelli Synt. Stick 20mm</t>
  </si>
  <si>
    <t xml:space="preserve">30-50 mm</t>
  </si>
  <si>
    <t xml:space="preserve">52-9131</t>
  </si>
  <si>
    <t xml:space="preserve">Pronelli Penselsæt. 50-40-30mm. Blåt håndtag med grå synt børster.</t>
  </si>
  <si>
    <t xml:space="preserve">3808-48</t>
  </si>
  <si>
    <t xml:space="preserve">WASHI TAPE PREMIUM 48X50MM 20STK/KOLLI.</t>
  </si>
  <si>
    <t xml:space="preserve">Rondel D421 til excentersliber | Rondeller</t>
  </si>
  <si>
    <t xml:space="preserve">19854</t>
  </si>
  <si>
    <t xml:space="preserve">Ø150 mm QG 49H. Korn 40. D421.</t>
  </si>
  <si>
    <t xml:space="preserve">19856</t>
  </si>
  <si>
    <t xml:space="preserve">Ø150 mm QG 49H. Korn 60. D421.</t>
  </si>
  <si>
    <t xml:space="preserve">19857</t>
  </si>
  <si>
    <t xml:space="preserve">Ø150 mm QG 49H. Korn 80. D421.</t>
  </si>
  <si>
    <t xml:space="preserve">19858</t>
  </si>
  <si>
    <t xml:space="preserve">Ø150 mm QG 49H. Korn 100. D421.</t>
  </si>
  <si>
    <t xml:space="preserve">19859</t>
  </si>
  <si>
    <t xml:space="preserve">Ø150 mm QG 49H. Korn 120. D421.</t>
  </si>
  <si>
    <t xml:space="preserve">19860</t>
  </si>
  <si>
    <t xml:space="preserve">Ø150 mm QG 49H. Korn 150. D421.</t>
  </si>
  <si>
    <t xml:space="preserve">19861</t>
  </si>
  <si>
    <t xml:space="preserve">Ø150 mm QG 49H. Korn 180. D421.</t>
  </si>
  <si>
    <t xml:space="preserve">19863</t>
  </si>
  <si>
    <t xml:space="preserve">Ø150 mm QG 49H. Korn 240. D421.</t>
  </si>
  <si>
    <t xml:space="preserve">2564-366</t>
  </si>
  <si>
    <t xml:space="preserve">Pronelli Håndtag 25cm.</t>
  </si>
  <si>
    <t xml:space="preserve">Glatlak rulle 18-25 cm | Ruller</t>
  </si>
  <si>
    <t xml:space="preserve">948525</t>
  </si>
  <si>
    <t xml:space="preserve">Sealing roller 25cm. Hvid Gulvrulle Glat. MK</t>
  </si>
  <si>
    <t xml:space="preserve">Gaffatape, sort | Tape</t>
  </si>
  <si>
    <t xml:space="preserve">50 mm</t>
  </si>
  <si>
    <t xml:space="preserve">3824-51</t>
  </si>
  <si>
    <t xml:space="preserve">Steinband SORT-50mmx50m. 24stk/kolli.</t>
  </si>
  <si>
    <t xml:space="preserve">Glatlak rulle 5-15 cm | Ruller</t>
  </si>
  <si>
    <t xml:space="preserve">725506-02</t>
  </si>
  <si>
    <t xml:space="preserve">Glatlak rulle 5cm (2-pak)</t>
  </si>
  <si>
    <t xml:space="preserve">Sandpapir D126, 25/50 m | Slibepapir</t>
  </si>
  <si>
    <t xml:space="preserve">85540</t>
  </si>
  <si>
    <t xml:space="preserve">Sandpapir 115mm x 25m rulle.Korn 40. D126</t>
  </si>
  <si>
    <t xml:space="preserve">85541</t>
  </si>
  <si>
    <t xml:space="preserve">Sandpapir 115mm x 25m rulle. Korn 60 . D126</t>
  </si>
  <si>
    <t xml:space="preserve">Stålbørste 3 rk.</t>
  </si>
  <si>
    <t xml:space="preserve">819203</t>
  </si>
  <si>
    <t xml:space="preserve">52-304/30F1</t>
  </si>
  <si>
    <t xml:space="preserve">Pronelli. Synt. Stick 30mm.</t>
  </si>
  <si>
    <t xml:space="preserve">Rullespandposer</t>
  </si>
  <si>
    <t xml:space="preserve">20 liter</t>
  </si>
  <si>
    <t xml:space="preserve">5706461115493</t>
  </si>
  <si>
    <t xml:space="preserve">Rullespandeposer 50 stk. pr. rl. / 20 rl. pr. kasse.</t>
  </si>
  <si>
    <t xml:space="preserve">Lammerulle | Ruller</t>
  </si>
  <si>
    <t xml:space="preserve">4010</t>
  </si>
  <si>
    <t xml:space="preserve">Lammerulle 25 cm</t>
  </si>
  <si>
    <t xml:space="preserve">Stickpensel</t>
  </si>
  <si>
    <t xml:space="preserve">15mm</t>
  </si>
  <si>
    <t xml:space="preserve">417915</t>
  </si>
  <si>
    <t xml:space="preserve">Pronelli synt. 15mm. MK.</t>
  </si>
  <si>
    <t xml:space="preserve">Smooth-Tec | Tape</t>
  </si>
  <si>
    <t xml:space="preserve">3307-48</t>
  </si>
  <si>
    <t xml:space="preserve">3307 SMOOTH-TEC. Ekstra Strong crepe for outdoor use 48mm.</t>
  </si>
  <si>
    <t xml:space="preserve">Radiatorpensel | Natur</t>
  </si>
  <si>
    <t xml:space="preserve">52-23/40</t>
  </si>
  <si>
    <t xml:space="preserve">Gamma Radiator Naturbørste pensel 40mm</t>
  </si>
  <si>
    <t xml:space="preserve">Nylonrulle | Ruller</t>
  </si>
  <si>
    <t xml:space="preserve">723511-01</t>
  </si>
  <si>
    <t xml:space="preserve">Nylon rulle 10cm.</t>
  </si>
  <si>
    <t xml:space="preserve">85542</t>
  </si>
  <si>
    <t xml:space="preserve">Sandpapir 115mm x 50m rulle. Korn 80. D126.</t>
  </si>
  <si>
    <t xml:space="preserve">16225</t>
  </si>
  <si>
    <t xml:space="preserve">Sandpapir 115mm x 50m rulle. Korn 100. D126.</t>
  </si>
  <si>
    <t xml:space="preserve">85543</t>
  </si>
  <si>
    <t xml:space="preserve">Sandpapir 115mm x 50m rulle. Korn 120. D126.</t>
  </si>
  <si>
    <t xml:space="preserve">16226</t>
  </si>
  <si>
    <t xml:space="preserve">Sandpapir 115mm x 50m rulle. Korn 150. D126.</t>
  </si>
  <si>
    <t xml:space="preserve">85546</t>
  </si>
  <si>
    <t xml:space="preserve">Sandpapir 115mm x 50m rulle. Korn 180. D126.</t>
  </si>
  <si>
    <t xml:space="preserve">85547</t>
  </si>
  <si>
    <t xml:space="preserve">Sandpapir 115mm x 50m rulle. Korn 240. D126.</t>
  </si>
  <si>
    <t xml:space="preserve">Rosa Vestan | Ruller</t>
  </si>
  <si>
    <t xml:space="preserve">721610-01</t>
  </si>
  <si>
    <t xml:space="preserve">Vestan Rosa 10 cm.</t>
  </si>
  <si>
    <t xml:space="preserve">Malebakke | Bakker</t>
  </si>
  <si>
    <t xml:space="preserve">711530</t>
  </si>
  <si>
    <t xml:space="preserve">Pronelli Malerbakke 10 cm</t>
  </si>
  <si>
    <t xml:space="preserve">3804-48</t>
  </si>
  <si>
    <t xml:space="preserve">MASKING TAPE STANDARD 48X50MM. 20 STK/KOLLI</t>
  </si>
  <si>
    <t xml:space="preserve">3804-36</t>
  </si>
  <si>
    <t xml:space="preserve">MASKING TAPE STANDARD 36X50MM. 24 STK/KOLLI</t>
  </si>
  <si>
    <t xml:space="preserve">Jumbopensel | Mix</t>
  </si>
  <si>
    <t xml:space="preserve">255951</t>
  </si>
  <si>
    <t xml:space="preserve">Jumbo vinkelpensel 50 mm. MK</t>
  </si>
  <si>
    <t xml:space="preserve">721715-0C</t>
  </si>
  <si>
    <t xml:space="preserve">Vestan 15cm . Hvid.</t>
  </si>
  <si>
    <t xml:space="preserve">761837</t>
  </si>
  <si>
    <t xml:space="preserve">Pronelli Malerbakke 25 cm</t>
  </si>
  <si>
    <t xml:space="preserve">Washi-Tec Ekstra | Tape</t>
  </si>
  <si>
    <t xml:space="preserve">3373-36</t>
  </si>
  <si>
    <t xml:space="preserve">WASHI-TEC EKSTRA GRØN 36MMX50M. 24 STK/KOLLI</t>
  </si>
  <si>
    <t xml:space="preserve">3307-36</t>
  </si>
  <si>
    <t xml:space="preserve">3307 SMOOTH-TEC. Ekstra Strong crepe for outdoor use 36mm.</t>
  </si>
  <si>
    <t xml:space="preserve">Sandpapir D122, 50 m | Slibepapir</t>
  </si>
  <si>
    <t xml:space="preserve">16720</t>
  </si>
  <si>
    <t xml:space="preserve">Sandpapir 100mm x 50m. K40. D122</t>
  </si>
  <si>
    <t xml:space="preserve">16722</t>
  </si>
  <si>
    <t xml:space="preserve">Sandpapir 100mm x 50m. K80. D122.</t>
  </si>
  <si>
    <t xml:space="preserve">16723</t>
  </si>
  <si>
    <t xml:space="preserve">Sandpapir 100mm x 50m. K100. D122.</t>
  </si>
  <si>
    <t xml:space="preserve">16724</t>
  </si>
  <si>
    <t xml:space="preserve">Sandpapir 100mm x 50m. K120. D122.</t>
  </si>
  <si>
    <t xml:space="preserve">16726</t>
  </si>
  <si>
    <t xml:space="preserve">Sandpapir 100mm x 50m. K180. D122.</t>
  </si>
  <si>
    <t xml:space="preserve">Korn 220</t>
  </si>
  <si>
    <t xml:space="preserve">16727</t>
  </si>
  <si>
    <t xml:space="preserve">Sandpapir 100mm x 50m. K220. D122.</t>
  </si>
  <si>
    <t xml:space="preserve">3307-24</t>
  </si>
  <si>
    <t xml:space="preserve">3307 SMOOTH-TEC. Ekstra Strong crepe for outdoor use 24mm.</t>
  </si>
  <si>
    <t xml:space="preserve">Gaffatape | Tape</t>
  </si>
  <si>
    <t xml:space="preserve">3824</t>
  </si>
  <si>
    <t xml:space="preserve">Gafatape Steinband SILVER 50x50 24 rl kassen.</t>
  </si>
  <si>
    <t xml:space="preserve">Washi Folie-Mask | Afdækning</t>
  </si>
  <si>
    <t xml:space="preserve">2700 mm</t>
  </si>
  <si>
    <t xml:space="preserve">3688-27</t>
  </si>
  <si>
    <t xml:space="preserve">WASHI Folie-Mask. 2700mm x 20m. 30 STK/KOLLI</t>
  </si>
  <si>
    <t xml:space="preserve">1400 mm</t>
  </si>
  <si>
    <t xml:space="preserve">3688-14</t>
  </si>
  <si>
    <t xml:space="preserve">WASHI Folie-Mask. 1400mm x 33m. 30 STK/KOLLI</t>
  </si>
  <si>
    <t xml:space="preserve">Folie-Mask | Afdækning</t>
  </si>
  <si>
    <t xml:space="preserve">3832-27</t>
  </si>
  <si>
    <t xml:space="preserve">Folie-Mask. 2700mm x 20m. 30 STK/KOLLI</t>
  </si>
  <si>
    <t xml:space="preserve">3832-14</t>
  </si>
  <si>
    <t xml:space="preserve">Folie-Mask. 1400mm x 33m. 30 STK/KOLLI</t>
  </si>
  <si>
    <t xml:space="preserve">550 mm</t>
  </si>
  <si>
    <t xml:space="preserve">3688-55</t>
  </si>
  <si>
    <t xml:space="preserve">WASHI Folie-Mask. 550mm x 33m. 60 STK/KOLLI</t>
  </si>
  <si>
    <t xml:space="preserve">110-200cm</t>
  </si>
  <si>
    <t xml:space="preserve">765542</t>
  </si>
  <si>
    <t xml:space="preserve">Teleskop 110-200cm. 6 stk/pk. MK</t>
  </si>
  <si>
    <t xml:space="preserve">Papir-Mask | Afdækning</t>
  </si>
  <si>
    <t xml:space="preserve">300 mm</t>
  </si>
  <si>
    <t xml:space="preserve">3834-30</t>
  </si>
  <si>
    <t xml:space="preserve">Papir-Mask 300mmx25. 15 stk/kolli.</t>
  </si>
  <si>
    <t xml:space="preserve">Sandpapir D421, 50 m | Slibepapir</t>
  </si>
  <si>
    <t xml:space="preserve">16005</t>
  </si>
  <si>
    <t xml:space="preserve">Sandpapir K40 100mm x 50m. D421</t>
  </si>
  <si>
    <t xml:space="preserve">16006</t>
  </si>
  <si>
    <t xml:space="preserve">Sandpapir K60 100mm x 50m. D421</t>
  </si>
  <si>
    <t xml:space="preserve">16007</t>
  </si>
  <si>
    <t xml:space="preserve">Sandpapir K80 100mm x 50m. D421</t>
  </si>
  <si>
    <t xml:space="preserve">19009</t>
  </si>
  <si>
    <t xml:space="preserve">Sandpapir K100 100mm x 50m. D421</t>
  </si>
  <si>
    <t xml:space="preserve">16008</t>
  </si>
  <si>
    <t xml:space="preserve">Sandpapir K120 100mm x 50m. D421</t>
  </si>
  <si>
    <t xml:space="preserve">16010</t>
  </si>
  <si>
    <t xml:space="preserve">Sandpapir K150 100mm x 50m. D421</t>
  </si>
  <si>
    <t xml:space="preserve">16011</t>
  </si>
  <si>
    <t xml:space="preserve">Sandpapir K180 100mm x 50m. D421</t>
  </si>
  <si>
    <t xml:space="preserve">16012</t>
  </si>
  <si>
    <t xml:space="preserve">Sandpapir K240 100mm x 50m. D421</t>
  </si>
  <si>
    <t xml:space="preserve">3832-55</t>
  </si>
  <si>
    <t xml:space="preserve">Folie-Mask. 550mm x 33m. 60 STK/KOLLI</t>
  </si>
  <si>
    <t xml:space="preserve">180 mm</t>
  </si>
  <si>
    <t xml:space="preserve">3834-18</t>
  </si>
  <si>
    <t xml:space="preserve">Papir-Mask 180mmx25. 30 stk/kolli.</t>
  </si>
  <si>
    <t xml:space="preserve">701650</t>
  </si>
  <si>
    <t xml:space="preserve">Vestan Vægrulle Rosa 25cm</t>
  </si>
  <si>
    <t xml:space="preserve">52-304/50F1</t>
  </si>
  <si>
    <t xml:space="preserve">Pronelli. Synt. Stick 50mm.</t>
  </si>
  <si>
    <t xml:space="preserve">52-304/40F1</t>
  </si>
  <si>
    <t xml:space="preserve">Pronelli. Synt. Stick 40mm.</t>
  </si>
  <si>
    <t xml:space="preserve">976918</t>
  </si>
  <si>
    <t xml:space="preserve">Microfiber Blue-tex 18cm/luv16mm.</t>
  </si>
  <si>
    <t xml:space="preserve">Gipskop</t>
  </si>
  <si>
    <t xml:space="preserve">Ø125 cm</t>
  </si>
  <si>
    <t xml:space="preserve">818412SB</t>
  </si>
  <si>
    <t xml:space="preserve">Gibskop. Ø12,5 cm. MK</t>
  </si>
  <si>
    <t xml:space="preserve">Microfiber gulvrulle</t>
  </si>
  <si>
    <t xml:space="preserve">50 cm</t>
  </si>
  <si>
    <t xml:space="preserve">50325000</t>
  </si>
  <si>
    <t xml:space="preserve">Gulvrulle 50cm. Microfiber 9mm</t>
  </si>
  <si>
    <t xml:space="preserve">Nylon gulvrulle</t>
  </si>
  <si>
    <t xml:space="preserve">50375000</t>
  </si>
  <si>
    <t xml:space="preserve">Gulvrulle 50cm. Nylon 7mm</t>
  </si>
  <si>
    <t xml:space="preserve">255971</t>
  </si>
  <si>
    <t xml:space="preserve">Jumbo vinkelpensel 70mm. MK</t>
  </si>
  <si>
    <t xml:space="preserve">52-23/60</t>
  </si>
  <si>
    <t xml:space="preserve">Radiatorpensel 60mm - S. 23 Pura Setola 23/60</t>
  </si>
  <si>
    <t xml:space="preserve">Ovalpensel | Gemini</t>
  </si>
  <si>
    <t xml:space="preserve">55mm</t>
  </si>
  <si>
    <t xml:space="preserve">52-167/55F1</t>
  </si>
  <si>
    <t xml:space="preserve">Pronelli Gemini Ovalpensel 55mm</t>
  </si>
  <si>
    <t xml:space="preserve">52-23/20</t>
  </si>
  <si>
    <t xml:space="preserve">Gamma Radiator Naturbørste pensel 20mm</t>
  </si>
  <si>
    <t xml:space="preserve">Cykellakpensel</t>
  </si>
  <si>
    <t xml:space="preserve">15 mm</t>
  </si>
  <si>
    <t xml:space="preserve">440000</t>
  </si>
  <si>
    <t xml:space="preserve">Cykellak pensel Lyse børster no 0</t>
  </si>
  <si>
    <t xml:space="preserve">Radiatorpensel | Syntetisk</t>
  </si>
  <si>
    <t xml:space="preserve">22/70</t>
  </si>
  <si>
    <t xml:space="preserve">Pronelli Radiatorpensel 70mm, Microfiber</t>
  </si>
  <si>
    <t xml:space="preserve">18 mm</t>
  </si>
  <si>
    <t xml:space="preserve">440001</t>
  </si>
  <si>
    <t xml:space="preserve">Cykellak pensel Lyse børster no 1</t>
  </si>
  <si>
    <t xml:space="preserve">Makonylrulle | Ruller</t>
  </si>
  <si>
    <t xml:space="preserve">747826</t>
  </si>
  <si>
    <t xml:space="preserve">Makonyl 25cm 7mm Luv.</t>
  </si>
  <si>
    <t xml:space="preserve">Jumbopensel, kort | Gemini</t>
  </si>
  <si>
    <t xml:space="preserve">295/70F1</t>
  </si>
  <si>
    <t xml:space="preserve">ProNelli Gemini Jumbo 70 mm. KORTSKAFT</t>
  </si>
  <si>
    <t xml:space="preserve">Ovalpensel | Soft</t>
  </si>
  <si>
    <t xml:space="preserve">52-161/55F1</t>
  </si>
  <si>
    <t xml:space="preserve">Pronelli Soft. Ovalpensel 55mm</t>
  </si>
  <si>
    <t xml:space="preserve">Jumbopensel, kort | Soft</t>
  </si>
  <si>
    <t xml:space="preserve">295SOFT/70F1</t>
  </si>
  <si>
    <t xml:space="preserve">ProNelli Soft Jumbo 70 mm. KORTSKAFT</t>
  </si>
  <si>
    <t xml:space="preserve">Omrører</t>
  </si>
  <si>
    <t xml:space="preserve">800 mm</t>
  </si>
  <si>
    <t xml:space="preserve">52-4200</t>
  </si>
  <si>
    <t xml:space="preserve">Omrører 80</t>
  </si>
  <si>
    <t xml:space="preserve">Facadepensel | Gemini</t>
  </si>
  <si>
    <t xml:space="preserve">52-428/5020F1</t>
  </si>
  <si>
    <t xml:space="preserve">Pronelli Gemini Synt. Facadepensel 50x20mm.</t>
  </si>
  <si>
    <t xml:space="preserve">Jumbopensel | Soft</t>
  </si>
  <si>
    <t xml:space="preserve">52-SOFT/292/70</t>
  </si>
  <si>
    <t xml:space="preserve">ProNelli Soft Jumbo 70</t>
  </si>
  <si>
    <t xml:space="preserve">VEGA arbejdshandsker hvid</t>
  </si>
  <si>
    <t xml:space="preserve">S</t>
  </si>
  <si>
    <t xml:space="preserve">52-G906/7</t>
  </si>
  <si>
    <t xml:space="preserve">Vega Arbejdshandske Hvid S</t>
  </si>
  <si>
    <t xml:space="preserve">M</t>
  </si>
  <si>
    <t xml:space="preserve">52-G906/8</t>
  </si>
  <si>
    <t xml:space="preserve">Vega Arbejdshandske Hvid M</t>
  </si>
  <si>
    <t xml:space="preserve">L</t>
  </si>
  <si>
    <t xml:space="preserve">52-G906/9</t>
  </si>
  <si>
    <t xml:space="preserve">Vega Arbejdshandske Hvid Large</t>
  </si>
  <si>
    <t xml:space="preserve">XL</t>
  </si>
  <si>
    <t xml:space="preserve">52-G906/10</t>
  </si>
  <si>
    <t xml:space="preserve">Vega Arbejdshandske Hvid XL</t>
  </si>
  <si>
    <t xml:space="preserve">440002</t>
  </si>
  <si>
    <t xml:space="preserve">Cykellakpensel 440002</t>
  </si>
  <si>
    <t xml:space="preserve">295/50F1</t>
  </si>
  <si>
    <t xml:space="preserve">ProNelli Gemini Jumbo 50 mm. KORTSKAFT.</t>
  </si>
  <si>
    <t xml:space="preserve">52-23/30</t>
  </si>
  <si>
    <t xml:space="preserve">Gamma Radiator Naturbørste pensel 30mm</t>
  </si>
  <si>
    <t xml:space="preserve">Stickpensel | Gemini</t>
  </si>
  <si>
    <t xml:space="preserve">52-293/20F1</t>
  </si>
  <si>
    <t xml:space="preserve">ProNelli Gemini Synt. Stick 20mm.</t>
  </si>
  <si>
    <t xml:space="preserve">25mm</t>
  </si>
  <si>
    <t xml:space="preserve">52-167/25F1</t>
  </si>
  <si>
    <t xml:space="preserve">Pronelli Gemini Ovalpensel 25mm.</t>
  </si>
  <si>
    <t xml:space="preserve">Gaffatape 524 | Tape</t>
  </si>
  <si>
    <t xml:space="preserve">524</t>
  </si>
  <si>
    <t xml:space="preserve">Gaffatape 524</t>
  </si>
  <si>
    <t xml:space="preserve">721650</t>
  </si>
  <si>
    <t xml:space="preserve">Vestan Vægrulle Rosa 15cm</t>
  </si>
  <si>
    <t xml:space="preserve">45mm</t>
  </si>
  <si>
    <t xml:space="preserve">52-167/45F1</t>
  </si>
  <si>
    <t xml:space="preserve">Pronelli Gemini Ovalpensel 45mm.</t>
  </si>
  <si>
    <t xml:space="preserve">725511-02</t>
  </si>
  <si>
    <t xml:space="preserve">Glatlak rulle 10 cm 2-pak. MK.</t>
  </si>
  <si>
    <t xml:space="preserve">725515-01</t>
  </si>
  <si>
    <t xml:space="preserve">Glatlak rulle 15 cm ( Mako)</t>
  </si>
  <si>
    <t xml:space="preserve">35mm</t>
  </si>
  <si>
    <t xml:space="preserve">52-167/35F1</t>
  </si>
  <si>
    <t xml:space="preserve">Pronelli Gemini Ovalpensel 35mm.</t>
  </si>
  <si>
    <t xml:space="preserve">Stickpensel | Soft</t>
  </si>
  <si>
    <t xml:space="preserve">52-314/20F1</t>
  </si>
  <si>
    <t xml:space="preserve">ProNelli Soft. Synt. Stick 20 mm</t>
  </si>
  <si>
    <t xml:space="preserve">295SOFT/50F1</t>
  </si>
  <si>
    <t xml:space="preserve">ProNelli Soft Jumbo 50 mm. KORTSKAFT. B.103gr-N.89gr.</t>
  </si>
  <si>
    <t xml:space="preserve">1200 mm</t>
  </si>
  <si>
    <t xml:space="preserve">52-4202</t>
  </si>
  <si>
    <t xml:space="preserve">Omrører 120</t>
  </si>
  <si>
    <t xml:space="preserve">52-161/45F1</t>
  </si>
  <si>
    <t xml:space="preserve">Pronelli Soft. Ovalpensel 45mm</t>
  </si>
  <si>
    <t xml:space="preserve">52-161/25F1</t>
  </si>
  <si>
    <t xml:space="preserve">Pronelli Soft. Ovalpensel 25mm.</t>
  </si>
  <si>
    <t xml:space="preserve">Håndtag blå</t>
  </si>
  <si>
    <t xml:space="preserve">5cm</t>
  </si>
  <si>
    <t xml:space="preserve">0514-366</t>
  </si>
  <si>
    <t xml:space="preserve">Blå Håndtag 5cm . Alm. Plast.</t>
  </si>
  <si>
    <t xml:space="preserve">52-161/35F1</t>
  </si>
  <si>
    <t xml:space="preserve">Pronelli Soft. Ovalpensel 35mm.</t>
  </si>
  <si>
    <t xml:space="preserve">Sprøjtedragt Classic</t>
  </si>
  <si>
    <t xml:space="preserve">44120044</t>
  </si>
  <si>
    <t xml:space="preserve">Maledragt XL. 50stk/pr kasse.</t>
  </si>
  <si>
    <t xml:space="preserve">52-SOFT/292/50</t>
  </si>
  <si>
    <t xml:space="preserve">ProNelli Soft Jumbo 50 mm</t>
  </si>
  <si>
    <t xml:space="preserve">Støvkost | Natur</t>
  </si>
  <si>
    <t xml:space="preserve">280 mm</t>
  </si>
  <si>
    <t xml:space="preserve">636628</t>
  </si>
  <si>
    <t xml:space="preserve">Støvkost. Hestehår. MK</t>
  </si>
  <si>
    <t xml:space="preserve">Knivblade</t>
  </si>
  <si>
    <t xml:space="preserve">817211</t>
  </si>
  <si>
    <t xml:space="preserve">Knivblade 18mm. MK. 20 stk/pr kasse.</t>
  </si>
  <si>
    <t xml:space="preserve">52-22/50</t>
  </si>
  <si>
    <t xml:space="preserve">Pronelli Radiatorpensel 50mm, Microfiber</t>
  </si>
  <si>
    <t xml:space="preserve">12 cm</t>
  </si>
  <si>
    <t xml:space="preserve">973412-10</t>
  </si>
  <si>
    <t xml:space="preserve">Microfiber Blue-tex 12cm /Ø30MM / 10 STK. PK.</t>
  </si>
  <si>
    <t xml:space="preserve">Leverandørpris 22,00 er muligvis pr. 10-pak (uklart på listen) – tjek.</t>
  </si>
  <si>
    <t xml:space="preserve">Gamma Twist | Ruller</t>
  </si>
  <si>
    <t xml:space="preserve">52-457/25R</t>
  </si>
  <si>
    <t xml:space="preserve">Gamma Twist rulle/stick. 631077</t>
  </si>
  <si>
    <t xml:space="preserve">52-293/40F1</t>
  </si>
  <si>
    <t xml:space="preserve">ProNelli Gemini Synt. Stick 40.</t>
  </si>
  <si>
    <t xml:space="preserve">52-314/40F1</t>
  </si>
  <si>
    <t xml:space="preserve">ProNelli Soft. Synt. Stick 40 mm</t>
  </si>
  <si>
    <t xml:space="preserve">52-314/30F1</t>
  </si>
  <si>
    <t xml:space="preserve">ProNelli Soft. Synt. Stick 30 mm</t>
  </si>
  <si>
    <t xml:space="preserve">52-293/30F1</t>
  </si>
  <si>
    <t xml:space="preserve">ProNelli Gemini Synt. Stick 30mm.</t>
  </si>
  <si>
    <t xml:space="preserve">Gaffatape Premium | Tape</t>
  </si>
  <si>
    <t xml:space="preserve">PC 667</t>
  </si>
  <si>
    <t xml:space="preserve">Premium Gafa Tape</t>
  </si>
  <si>
    <t xml:space="preserve">Rondel til D126 girafsliber</t>
  </si>
  <si>
    <t xml:space="preserve">88217</t>
  </si>
  <si>
    <t xml:space="preserve">Ø225mm. Filt U/hul (flex) K40 D126.</t>
  </si>
  <si>
    <t xml:space="preserve">Hævet 2. sep 2026 fra 7 kr. </t>
  </si>
  <si>
    <t xml:space="preserve">88219</t>
  </si>
  <si>
    <t xml:space="preserve">Ø225mm. Filt U/hul (flex) K60 D126.</t>
  </si>
  <si>
    <t xml:space="preserve">88220</t>
  </si>
  <si>
    <t xml:space="preserve">Ø225mm. Filt U/hul (flex) K80 D126.</t>
  </si>
  <si>
    <t xml:space="preserve">88221</t>
  </si>
  <si>
    <t xml:space="preserve">Ø225mm. Filt U/hul (flex) K100 D126.</t>
  </si>
  <si>
    <t xml:space="preserve">88222</t>
  </si>
  <si>
    <t xml:space="preserve">Ø225mm. Filt U/hul (flex) K120 D126.</t>
  </si>
  <si>
    <t xml:space="preserve">88223</t>
  </si>
  <si>
    <t xml:space="preserve">Ø225 Filt U/hul K180 D126</t>
  </si>
  <si>
    <t xml:space="preserve">Rondel D421 til girafsliber</t>
  </si>
  <si>
    <t xml:space="preserve">34529</t>
  </si>
  <si>
    <t xml:space="preserve">Ø225mm QG U/hul (flex) K60 D421.</t>
  </si>
  <si>
    <t xml:space="preserve">34530</t>
  </si>
  <si>
    <t xml:space="preserve">Ø225mm QG U/hul (flex) K80 D421.</t>
  </si>
  <si>
    <t xml:space="preserve">34531</t>
  </si>
  <si>
    <t xml:space="preserve">Ø225mm QG U/hul (flex) K100 D421.</t>
  </si>
  <si>
    <t xml:space="preserve">34532</t>
  </si>
  <si>
    <t xml:space="preserve">Ø225mm QG U/hul (flex) K120 D421.</t>
  </si>
  <si>
    <t xml:space="preserve">34533</t>
  </si>
  <si>
    <t xml:space="preserve">Ø225mm QG U/hul (flex) K150 D421.</t>
  </si>
  <si>
    <t xml:space="preserve">34534</t>
  </si>
  <si>
    <t xml:space="preserve">Ø225mm QG U/hul (flex) K180 D421.</t>
  </si>
  <si>
    <t xml:space="preserve">34535</t>
  </si>
  <si>
    <t xml:space="preserve">Ø225mm QG U/hul (flex) K240 D421.</t>
  </si>
  <si>
    <t xml:space="preserve">Rondel D414 til girafsliber</t>
  </si>
  <si>
    <t xml:space="preserve">19927</t>
  </si>
  <si>
    <t xml:space="preserve">Ø225 mm QG 49H. Korn 80. D414</t>
  </si>
  <si>
    <t xml:space="preserve">Hævet 2. sep 2026 fra 12 kr. </t>
  </si>
  <si>
    <t xml:space="preserve">19928</t>
  </si>
  <si>
    <t xml:space="preserve">Ø225 mm QG 49H. Korn 100. D414</t>
  </si>
  <si>
    <t xml:space="preserve">19929</t>
  </si>
  <si>
    <t xml:space="preserve">Ø225 mm QG 49H. Korn 120. D414</t>
  </si>
  <si>
    <t xml:space="preserve">19930</t>
  </si>
  <si>
    <t xml:space="preserve">Ø225 mm QG 49H. Korn 150. D414</t>
  </si>
  <si>
    <t xml:space="preserve">19931</t>
  </si>
  <si>
    <t xml:space="preserve">Ø225 mm QG 49H. Korn 180. D414</t>
  </si>
  <si>
    <t xml:space="preserve">19932</t>
  </si>
  <si>
    <t xml:space="preserve">Ø225 mm QG 49H. Korn 220. D414</t>
  </si>
  <si>
    <t xml:space="preserve">19933</t>
  </si>
  <si>
    <t xml:space="preserve">Ø225 mm QG 49H. Korn 240. D414</t>
  </si>
  <si>
    <t xml:space="preserve">34540</t>
  </si>
  <si>
    <t xml:space="preserve">Ø225mm 49H QG Korn 60. Korn 421.</t>
  </si>
  <si>
    <t xml:space="preserve">Hævet 2. sep 2026 fra 15 kr. </t>
  </si>
  <si>
    <t xml:space="preserve">34541</t>
  </si>
  <si>
    <t xml:space="preserve">Ø225mm 49H QG Korn 80. Korn 421.</t>
  </si>
  <si>
    <t xml:space="preserve">34542</t>
  </si>
  <si>
    <t xml:space="preserve">Ø225mm 49H QG Korn 100. Korn 421.</t>
  </si>
  <si>
    <t xml:space="preserve">34543</t>
  </si>
  <si>
    <t xml:space="preserve">Ø225mm 49H QG Korn 120. Korn 421.</t>
  </si>
  <si>
    <t xml:space="preserve">34544</t>
  </si>
  <si>
    <t xml:space="preserve">Ø225mm 49H QG Korn 150. Korn 421.</t>
  </si>
  <si>
    <t xml:space="preserve">34545</t>
  </si>
  <si>
    <t xml:space="preserve">Ø225mm 49H QG Korn 180. Korn 421.</t>
  </si>
  <si>
    <t xml:space="preserve">34546</t>
  </si>
  <si>
    <t xml:space="preserve">Ø225mm 49H QG Korn 240. Korn 421.</t>
  </si>
  <si>
    <t xml:space="preserve">52-9140</t>
  </si>
  <si>
    <t xml:space="preserve">Penselsæt 20-30-50 gult håndtag</t>
  </si>
  <si>
    <t xml:space="preserve">Hævet 2. sep 2026 fra 34 kr. </t>
  </si>
  <si>
    <t xml:space="preserve">Rullespand | Bakker</t>
  </si>
  <si>
    <t xml:space="preserve">55737212</t>
  </si>
  <si>
    <t xml:space="preserve">Rullespande 12 L plast</t>
  </si>
  <si>
    <t xml:space="preserve">Hævet 2. sep 2026 fra 46 kr. </t>
  </si>
  <si>
    <t xml:space="preserve">Selvklæbende 50 my plastikfolie | Afdækning</t>
  </si>
  <si>
    <t xml:space="preserve">313-32</t>
  </si>
  <si>
    <t xml:space="preserve">Schutzfolie BLÅ 1000mmx100mm VE6 50my.</t>
  </si>
  <si>
    <t xml:space="preserve">Hævet 2. sep 2026 fra 0 kr. </t>
  </si>
  <si>
    <t xml:space="preserve">Tapetsaks soft-grib</t>
  </si>
  <si>
    <t xml:space="preserve">28 cm</t>
  </si>
  <si>
    <t xml:space="preserve">807620SB</t>
  </si>
  <si>
    <t xml:space="preserve">Tapetsaks 28 cm. 2 Komponent Håndtag MK</t>
  </si>
  <si>
    <t xml:space="preserve">Hævet 2. sep 2026 fra 58 kr. </t>
  </si>
  <si>
    <t xml:space="preserve">Rondel D323 til gulvsliber</t>
  </si>
  <si>
    <t xml:space="preserve">Korn 12</t>
  </si>
  <si>
    <t xml:space="preserve">18045</t>
  </si>
  <si>
    <t xml:space="preserve">Ø406/25mm DB D323 Korn 12. 10 stk/pk.</t>
  </si>
  <si>
    <t xml:space="preserve">Hævet 2. sep 2026 fra 2 kr. Leverandørpris 877,80 er pr. 10-pak → 87,78 pr. stk.</t>
  </si>
  <si>
    <t xml:space="preserve">Korn 16</t>
  </si>
  <si>
    <t xml:space="preserve">18046</t>
  </si>
  <si>
    <t xml:space="preserve">Ø406/25mm DB D323 Korn 16. 10 stk/pk.</t>
  </si>
  <si>
    <t xml:space="preserve">Korn 24</t>
  </si>
  <si>
    <t xml:space="preserve">18048</t>
  </si>
  <si>
    <t xml:space="preserve">Ø406/25mm DB D323 Korn 24. 10 stk/pk.</t>
  </si>
  <si>
    <t xml:space="preserve">Korn 30</t>
  </si>
  <si>
    <t xml:space="preserve">18049</t>
  </si>
  <si>
    <t xml:space="preserve">Ø406/25mm DB D323 Korn 30. 10 stk/pk.</t>
  </si>
  <si>
    <t xml:space="preserve">Korn 36</t>
  </si>
  <si>
    <t xml:space="preserve">18106</t>
  </si>
  <si>
    <t xml:space="preserve">Ø406/25mm DB D323 Korn 36. 10 stk/pk.</t>
  </si>
  <si>
    <t xml:space="preserve">18050</t>
  </si>
  <si>
    <t xml:space="preserve">Ø406/25mm DB D323 Korn 40. 10 stk/pk.</t>
  </si>
  <si>
    <t xml:space="preserve">18052</t>
  </si>
  <si>
    <t xml:space="preserve">Ø406/25mm DB D323 Korn 60. 10 stk/pk.</t>
  </si>
  <si>
    <t xml:space="preserve">18053</t>
  </si>
  <si>
    <t xml:space="preserve">Ø406/25mm DB D323 Korn 80. 10 stk/pk.</t>
  </si>
  <si>
    <t xml:space="preserve">18054</t>
  </si>
  <si>
    <t xml:space="preserve">Ø406/25mm DB D323 Korn 100. 10 stk/pk.</t>
  </si>
  <si>
    <t xml:space="preserve">18055</t>
  </si>
  <si>
    <t xml:space="preserve">Ø406/25mm DB D323 Korn 120. 10 stk/pk.</t>
  </si>
  <si>
    <t xml:space="preserve">18168</t>
  </si>
  <si>
    <t xml:space="preserve">Ø406/25mm DB D323 Korn 180. 10 stk/pk.</t>
  </si>
  <si>
    <t xml:space="preserve">50x150 mm</t>
  </si>
  <si>
    <t xml:space="preserve">52-254/515</t>
  </si>
  <si>
    <t xml:space="preserve">Gamma Anstryger Naturbørste m /Softgrib 50x150mm</t>
  </si>
  <si>
    <t xml:space="preserve">Hævet 2. sep 2026 fra 314 kr. </t>
  </si>
  <si>
    <t xml:space="preserve">52-23/70</t>
  </si>
  <si>
    <t xml:space="preserve">Radiatorpensel 70mm - S.23.</t>
  </si>
  <si>
    <t xml:space="preserve">Hævet 2. sep 2026 fra 67 kr. </t>
  </si>
  <si>
    <t xml:space="preserve">Kantrulle</t>
  </si>
  <si>
    <t xml:space="preserve">768001SB</t>
  </si>
  <si>
    <t xml:space="preserve">Kantrulle Komplet 10 cm. Polyamid. MK - 668172</t>
  </si>
  <si>
    <t xml:space="preserve">Hævet 2. sep 2026 fra 119 kr. </t>
  </si>
  <si>
    <t xml:space="preserve">Multi-Tape | Tape</t>
  </si>
  <si>
    <t xml:space="preserve">367-01</t>
  </si>
  <si>
    <t xml:space="preserve">Multi-Tape 36/24mm</t>
  </si>
  <si>
    <t xml:space="preserve">Hævet 2. sep 2026 fra 210 kr. </t>
  </si>
  <si>
    <t xml:space="preserve">100mm</t>
  </si>
  <si>
    <t xml:space="preserve">52-428/10020F1</t>
  </si>
  <si>
    <t xml:space="preserve">Pronelli Gemini Synt. Facadepensel 100x20mm.</t>
  </si>
  <si>
    <t xml:space="preserve">10cm-L</t>
  </si>
  <si>
    <t xml:space="preserve">1032-366</t>
  </si>
  <si>
    <t xml:space="preserve">Blå Håndtag 10cm. 41 cm lang . Alm. Plast.</t>
  </si>
  <si>
    <t xml:space="preserve">Strukturrulle | Ruller</t>
  </si>
  <si>
    <t xml:space="preserve">50682500</t>
  </si>
  <si>
    <t xml:space="preserve">Strukturrulle. 25 cm - 613792</t>
  </si>
  <si>
    <t xml:space="preserve">Hævet 2. sep 2026 fra 112 kr. </t>
  </si>
  <si>
    <t xml:space="preserve">52-FACILE/30</t>
  </si>
  <si>
    <t xml:space="preserve">Pronelli. Fladpensel 30mm Mix/plastskaft.</t>
  </si>
  <si>
    <t xml:space="preserve">Hævet 2. sep 2026 fra 19 kr. </t>
  </si>
  <si>
    <t xml:space="preserve">Jumbopensel, kort skaft | Mix</t>
  </si>
  <si>
    <t xml:space="preserve">256571</t>
  </si>
  <si>
    <t xml:space="preserve">Jumbo vinkelpensel 70mm. Kort skaft.</t>
  </si>
  <si>
    <t xml:space="preserve">25 mm</t>
  </si>
  <si>
    <t xml:space="preserve">440003</t>
  </si>
  <si>
    <t xml:space="preserve">Cykellak pensel Lyse børster no 3</t>
  </si>
  <si>
    <t xml:space="preserve">20x115 mm</t>
  </si>
  <si>
    <t xml:space="preserve">52-810</t>
  </si>
  <si>
    <t xml:space="preserve">Gamma Lomme støvkost 2x15.</t>
  </si>
  <si>
    <t xml:space="preserve">Hævet 2. sep 2026 fra 103 kr. </t>
  </si>
  <si>
    <t xml:space="preserve">Tapetbørste kunstbørste</t>
  </si>
  <si>
    <t xml:space="preserve">300x26 mm</t>
  </si>
  <si>
    <t xml:space="preserve">803332SB</t>
  </si>
  <si>
    <t xml:space="preserve">Tapetbørste Kunstbørste. 300x26mm</t>
  </si>
  <si>
    <t xml:space="preserve">Hævet 2. sep 2026 fra 94 kr. </t>
  </si>
  <si>
    <t xml:space="preserve">52-212/37</t>
  </si>
  <si>
    <t xml:space="preserve">Gamma Anstryge mix børster 3x7.</t>
  </si>
  <si>
    <t xml:space="preserve">Hævet 2. sep 2026 fra 61 kr. </t>
  </si>
  <si>
    <t xml:space="preserve">Grey Star | Ruller</t>
  </si>
  <si>
    <t xml:space="preserve">703427</t>
  </si>
  <si>
    <t xml:space="preserve">Grey Star. Vestan 25cm. MK</t>
  </si>
  <si>
    <t xml:space="preserve">Hævet 2. sep 2026 fra 60 kr. </t>
  </si>
  <si>
    <t xml:space="preserve">Green Star | Ruller</t>
  </si>
  <si>
    <t xml:space="preserve">701750</t>
  </si>
  <si>
    <t xml:space="preserve">Green Star. Vestan MK 25 cm.</t>
  </si>
  <si>
    <t xml:space="preserve">Fladpensel | Mix</t>
  </si>
  <si>
    <t xml:space="preserve">52-44/70</t>
  </si>
  <si>
    <t xml:space="preserve">Gamma Pura Setola Flad 70. Natur. 44/70</t>
  </si>
  <si>
    <t xml:space="preserve">Rondel D126 til girafsliber</t>
  </si>
  <si>
    <t xml:space="preserve">86438</t>
  </si>
  <si>
    <t xml:space="preserve">Ø225mm. Filt 10H (flex) K40. D126.</t>
  </si>
  <si>
    <t xml:space="preserve">Hævet 2. sep 2026 fra 8 kr. </t>
  </si>
  <si>
    <t xml:space="preserve">86442</t>
  </si>
  <si>
    <t xml:space="preserve">Ø225mm. Filt 10H (flex) K60. D126.</t>
  </si>
  <si>
    <t xml:space="preserve">86440</t>
  </si>
  <si>
    <t xml:space="preserve">Ø225mm. Filt 10H (flex) K80 D126.</t>
  </si>
  <si>
    <t xml:space="preserve">86441</t>
  </si>
  <si>
    <t xml:space="preserve">Ø225mm. Filt 10H (flex) K100 D126.</t>
  </si>
  <si>
    <t xml:space="preserve">86439</t>
  </si>
  <si>
    <t xml:space="preserve">Ø225mm. Filt 10H (flex) K120. D126.</t>
  </si>
  <si>
    <t xml:space="preserve">86444</t>
  </si>
  <si>
    <t xml:space="preserve">Ø225mm. Filt 10H (flex) K180. D126.</t>
  </si>
  <si>
    <t xml:space="preserve">52-44/20</t>
  </si>
  <si>
    <t xml:space="preserve">Gamma Pura Setola Flad 20. Natur. 44/20</t>
  </si>
  <si>
    <t xml:space="preserve">10cm</t>
  </si>
  <si>
    <t xml:space="preserve">1031-366</t>
  </si>
  <si>
    <t xml:space="preserve">Blå Håndtag 10cm. Alm. Plast.</t>
  </si>
  <si>
    <t xml:space="preserve">52-212/310</t>
  </si>
  <si>
    <t xml:space="preserve">Gamma Anstryge mix børster 3x100</t>
  </si>
  <si>
    <t xml:space="preserve">Hævet 2. sep 2026 fra 72 kr. </t>
  </si>
  <si>
    <t xml:space="preserve">75mm</t>
  </si>
  <si>
    <t xml:space="preserve">52-428/7520F1</t>
  </si>
  <si>
    <t xml:space="preserve">Gemini Facadepensel 75x20</t>
  </si>
  <si>
    <t xml:space="preserve">130003SB</t>
  </si>
  <si>
    <t xml:space="preserve">Cykellak pensel Lyse børster Sæt 1-2-3</t>
  </si>
  <si>
    <t xml:space="preserve">Hævet 2. sep 2026 fra 37 kr. </t>
  </si>
  <si>
    <t xml:space="preserve">52-23/50</t>
  </si>
  <si>
    <t xml:space="preserve">Radiatorpensel 50mm - S. 23.</t>
  </si>
  <si>
    <t xml:space="preserve">Hævet 2. sep 2026 fra 52 kr. </t>
  </si>
  <si>
    <t xml:space="preserve">11 cm</t>
  </si>
  <si>
    <t xml:space="preserve">15681000-11</t>
  </si>
  <si>
    <t xml:space="preserve">Strukturrulle 10 cm - 613791</t>
  </si>
  <si>
    <t xml:space="preserve">Hævet 2. sep 2026 fra 31 kr. </t>
  </si>
  <si>
    <t xml:space="preserve">52-314/50F1</t>
  </si>
  <si>
    <t xml:space="preserve">ProNelli Soft. Synt. Stick 50 mm</t>
  </si>
  <si>
    <t xml:space="preserve">52-293/50F1</t>
  </si>
  <si>
    <t xml:space="preserve">ProNelli Gemini Synt. Stick 50mm.</t>
  </si>
  <si>
    <t xml:space="preserve">52-44/60</t>
  </si>
  <si>
    <t xml:space="preserve">Gamma Pura Setola Flad 60. Natur. 44/60</t>
  </si>
  <si>
    <t xml:space="preserve">52-44/50</t>
  </si>
  <si>
    <t xml:space="preserve">Gamma Pura Setola Flad 50. Natur. 44/50</t>
  </si>
  <si>
    <t xml:space="preserve">440004</t>
  </si>
  <si>
    <t xml:space="preserve">Cykellak pensel Lyse børster no 4</t>
  </si>
  <si>
    <t xml:space="preserve">Spartel</t>
  </si>
  <si>
    <t xml:space="preserve">100 mm</t>
  </si>
  <si>
    <t xml:space="preserve">52-268/100</t>
  </si>
  <si>
    <t xml:space="preserve">ProNelli spartel 100mm</t>
  </si>
  <si>
    <t xml:space="preserve">52-44/30</t>
  </si>
  <si>
    <t xml:space="preserve">Gamma Pura Setola Flad 30. Natur. 44/30</t>
  </si>
  <si>
    <t xml:space="preserve">90 mm</t>
  </si>
  <si>
    <t xml:space="preserve">52-268/90</t>
  </si>
  <si>
    <t xml:space="preserve">ProNelli spartel 90mm</t>
  </si>
  <si>
    <t xml:space="preserve">52-44/40</t>
  </si>
  <si>
    <t xml:space="preserve">Gamma Pura Setola Flad 40. Natur. 44/40</t>
  </si>
  <si>
    <t xml:space="preserve">80 mm</t>
  </si>
  <si>
    <t xml:space="preserve">52-268/80</t>
  </si>
  <si>
    <t xml:space="preserve">ProNelli spartel 80mm</t>
  </si>
  <si>
    <t xml:space="preserve">52-268/70</t>
  </si>
  <si>
    <t xml:space="preserve">ProNelli spartel 70mm</t>
  </si>
  <si>
    <t xml:space="preserve">52-268/30</t>
  </si>
  <si>
    <t xml:space="preserve">ProNelli spartel 30mm</t>
  </si>
  <si>
    <t xml:space="preserve">703417</t>
  </si>
  <si>
    <t xml:space="preserve">Grey Star. Vestan 15cm. MK</t>
  </si>
  <si>
    <t xml:space="preserve">721715-01</t>
  </si>
  <si>
    <t xml:space="preserve">Green Star. Vestan MK 15 cm.</t>
  </si>
  <si>
    <t xml:space="preserve">25cm</t>
  </si>
  <si>
    <t xml:space="preserve">2551-366</t>
  </si>
  <si>
    <t xml:space="preserve">Blå Håndtag 25cm . Alm. Plast.</t>
  </si>
  <si>
    <t xml:space="preserve">52-268/20</t>
  </si>
  <si>
    <t xml:space="preserve">ProNelli spartel 20mm</t>
  </si>
  <si>
    <t xml:space="preserve">52-268/60</t>
  </si>
  <si>
    <t xml:space="preserve">ProNelli spartel 60mm</t>
  </si>
  <si>
    <t xml:space="preserve">Anstryger | Syntetisk</t>
  </si>
  <si>
    <t xml:space="preserve">602101</t>
  </si>
  <si>
    <t xml:space="preserve">Mako Klisterkost kunstfiberbørster 170x70</t>
  </si>
  <si>
    <t xml:space="preserve">52-268/40</t>
  </si>
  <si>
    <t xml:space="preserve">ProNelli spartel 40mm</t>
  </si>
  <si>
    <t xml:space="preserve">52-268/50</t>
  </si>
  <si>
    <t xml:space="preserve">ProNelli spartel 50mm</t>
  </si>
  <si>
    <t xml:space="preserve">Hjørnerulle komplet | Ruller &amp; Håndtag</t>
  </si>
  <si>
    <t xml:space="preserve">729041</t>
  </si>
  <si>
    <t xml:space="preserve">Hjørnerulle komplet</t>
  </si>
  <si>
    <t xml:space="preserve">402-18R</t>
  </si>
  <si>
    <t xml:space="preserve">Glatrulle 18 cm</t>
  </si>
  <si>
    <t xml:space="preserve">Afskærmningsbånd</t>
  </si>
  <si>
    <t xml:space="preserve">391-80</t>
  </si>
  <si>
    <t xml:space="preserve">Duoband WUG | Tape</t>
  </si>
  <si>
    <t xml:space="preserve">35 mm</t>
  </si>
  <si>
    <t xml:space="preserve">310-35</t>
  </si>
  <si>
    <t xml:space="preserve">52-FACILE/50</t>
  </si>
  <si>
    <t xml:space="preserve">Plast skraber glasvæv</t>
  </si>
  <si>
    <t xml:space="preserve">805501</t>
  </si>
  <si>
    <t xml:space="preserve">Plastlåg</t>
  </si>
  <si>
    <t xml:space="preserve">25ltr</t>
  </si>
  <si>
    <t xml:space="preserve">55550200</t>
  </si>
  <si>
    <t xml:space="preserve">5ltr</t>
  </si>
  <si>
    <t xml:space="preserve">55550600</t>
  </si>
  <si>
    <t xml:space="preserve">10ltr</t>
  </si>
  <si>
    <t xml:space="preserve">55551100</t>
  </si>
  <si>
    <t xml:space="preserve">Plastspand</t>
  </si>
  <si>
    <t xml:space="preserve">55550202</t>
  </si>
  <si>
    <t xml:space="preserve">55550606</t>
  </si>
  <si>
    <t xml:space="preserve">55551111</t>
  </si>
  <si>
    <t xml:space="preserve">86443</t>
  </si>
  <si>
    <t xml:space="preserve">Hævet 2. sep 2026 fra 8 kr. Ingen kostpris på listen – prissat som de øvrige korn i samme serie.</t>
  </si>
  <si>
    <t xml:space="preserve">88225</t>
  </si>
  <si>
    <t xml:space="preserve">Hævet 2. sep 2026 fra 7 kr. Ingen kostpris på listen – prissat som de øvrige korn i samme serie.</t>
  </si>
  <si>
    <t xml:space="preserve">313-51</t>
  </si>
  <si>
    <t xml:space="preserve">Skridsikkert afdækning | Afdækning</t>
  </si>
  <si>
    <t xml:space="preserve">987512</t>
  </si>
  <si>
    <t xml:space="preserve">Sorte knivblade</t>
  </si>
  <si>
    <t xml:space="preserve">917210SB</t>
  </si>
  <si>
    <t xml:space="preserve">44120022</t>
  </si>
  <si>
    <t xml:space="preserve">44120033</t>
  </si>
  <si>
    <t xml:space="preserve">Washi Ultra Premium Tape | Tape</t>
  </si>
  <si>
    <t xml:space="preserve">38 mm</t>
  </si>
  <si>
    <t xml:space="preserve">300-01-07</t>
  </si>
  <si>
    <t xml:space="preserve">Forudsætninger</t>
  </si>
  <si>
    <t xml:space="preserve">Moms</t>
  </si>
  <si>
    <t xml:space="preserve">Målavance (af pris ekskl. moms)</t>
  </si>
  <si>
    <t xml:space="preserve">Kilde, kostpriser</t>
  </si>
  <si>
    <t xml:space="preserve">"Lars Frey Farve og Lak ruller og pensler.pdf" (special-pris ekskl. moms) i projektmappen</t>
  </si>
  <si>
    <t xml:space="preserve">Kilde, salgspriser</t>
  </si>
  <si>
    <t xml:space="preserve">Shopify, 2. september 2026 – inkl. de 65 varianter der blev hævet samme dag (se Note-kolonnen)</t>
  </si>
  <si>
    <t xml:space="preserve">Produktets kategori-tag i Shopify (samme inddeling som på Produkter-siden)</t>
  </si>
  <si>
    <t xml:space="preserve">Blå celler kan ændres. Ændrer du målavancen i B4, opdateres "Foreslået pris" på fanen Prisanalyse.</t>
  </si>
  <si>
    <t xml:space="preserve">Regel</t>
  </si>
  <si>
    <t xml:space="preserve">Sælges under kostpris (negativ avance) eller pris 0 kr</t>
  </si>
  <si>
    <t xml:space="preserve">Avance under 20 % – dækker knap nok håndtering og fragt</t>
  </si>
  <si>
    <t xml:space="preserve">Avance 20–35 %</t>
  </si>
  <si>
    <t xml:space="preserve">Avance 35 % og derover</t>
  </si>
  <si>
    <t xml:space="preserve">Ingen kostpris på leverandørlisten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</si>
</sst>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4C7C3"/>
        <bgColor rgb="FFFCE8B2"/>
      </patternFill>
    </fill>
    <fill>
      <patternFill patternType="solid">
        <fgColor rgb="FFFCE8B2"/>
        <bgColor rgb="FFFFF6D6"/>
      </patternFill>
    </fill>
    <fill>
      <patternFill patternType="solid">
        <fgColor rgb="FFFFF6D6"/>
        <bgColor rgb="FFFFFFFF"/>
      </patternFill>
    </fill>
    <fill>
      <patternFill patternType="solid">
        <fgColor rgb="FFD9EAD3"/>
        <bgColor rgb="FFE7E6E6"/>
      </patternFill>
    </fill>
    <fill>
      <patternFill patternType="solid">
        <fgColor rgb="FFE7E6E6"/>
        <bgColor rgb="FFD9EAD3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FFF6D6"/>
        </patternFill>
      </fill>
    </dxf>
    <dxf>
      <fill>
        <patternFill>
          <bgColor rgb="FFD9EAD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2"/>
    </row>
    <row r="5" customFormat="false" ht="15" hidden="false" customHeight="false" outlineLevel="0" collapsed="false">
      <c r="A5" s="4" t="s">
        <v>5</v>
      </c>
      <c r="B5" s="2" t="n">
        <f aca="false">COUNTIF(Prisanalyse!$I$2:$I$305,"KRITISK")</f>
        <v>0</v>
      </c>
      <c r="C5" s="2" t="s">
        <v>6</v>
      </c>
      <c r="D5" s="2"/>
    </row>
    <row r="6" customFormat="false" ht="15" hidden="false" customHeight="false" outlineLevel="0" collapsed="false">
      <c r="A6" s="5" t="s">
        <v>7</v>
      </c>
      <c r="B6" s="2" t="n">
        <f aca="false">COUNTIF(Prisanalyse!$I$2:$I$305,"HØJ")</f>
        <v>91</v>
      </c>
      <c r="C6" s="2" t="s">
        <v>8</v>
      </c>
      <c r="D6" s="2"/>
    </row>
    <row r="7" customFormat="false" ht="15" hidden="false" customHeight="false" outlineLevel="0" collapsed="false">
      <c r="A7" s="6" t="s">
        <v>9</v>
      </c>
      <c r="B7" s="2" t="n">
        <f aca="false">COUNTIF(Prisanalyse!$I$2:$I$305,"MIDDEL")</f>
        <v>75</v>
      </c>
      <c r="C7" s="2" t="s">
        <v>10</v>
      </c>
      <c r="D7" s="2"/>
    </row>
    <row r="8" customFormat="false" ht="15" hidden="false" customHeight="false" outlineLevel="0" collapsed="false">
      <c r="A8" s="7" t="s">
        <v>11</v>
      </c>
      <c r="B8" s="2" t="n">
        <f aca="false">COUNTIF(Prisanalyse!$I$2:$I$305,"OK")</f>
        <v>120</v>
      </c>
      <c r="C8" s="2" t="s">
        <v>12</v>
      </c>
      <c r="D8" s="2"/>
    </row>
    <row r="9" customFormat="false" ht="15" hidden="false" customHeight="false" outlineLevel="0" collapsed="false">
      <c r="A9" s="8" t="s">
        <v>13</v>
      </c>
      <c r="B9" s="2" t="n">
        <f aca="false">COUNTIF(Prisanalyse!$I$2:$I$305,"UKENDT")</f>
        <v>18</v>
      </c>
      <c r="C9" s="2" t="s">
        <v>14</v>
      </c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 t="s">
        <v>15</v>
      </c>
      <c r="B11" s="9" t="n">
        <f aca="false">MEDIAN(Prisanalyse!H2:H305)</f>
        <v>0.298361354775829</v>
      </c>
      <c r="C11" s="2"/>
      <c r="D11" s="2"/>
    </row>
    <row r="12" customFormat="false" ht="15" hidden="false" customHeight="false" outlineLevel="0" collapsed="false">
      <c r="A12" s="2" t="s">
        <v>16</v>
      </c>
      <c r="B12" s="9" t="n">
        <f aca="false">MEDIAN(Prisanalyse!L2:L305)</f>
        <v>0.454184782608696</v>
      </c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3" t="s">
        <v>17</v>
      </c>
      <c r="B14" s="2"/>
      <c r="C14" s="2"/>
      <c r="D14" s="2"/>
    </row>
    <row r="15" customFormat="false" ht="15" hidden="false" customHeight="false" outlineLevel="0" collapsed="false">
      <c r="A15" s="3" t="s">
        <v>18</v>
      </c>
      <c r="B15" s="3" t="s">
        <v>19</v>
      </c>
      <c r="C15" s="3" t="s">
        <v>20</v>
      </c>
      <c r="D15" s="3" t="s">
        <v>21</v>
      </c>
    </row>
    <row r="16" customFormat="false" ht="15" hidden="false" customHeight="false" outlineLevel="0" collapsed="false">
      <c r="A16" s="2" t="s">
        <v>22</v>
      </c>
      <c r="B16" s="2" t="n">
        <f aca="false">COUNTIF(Prisanalyse!$A$2:$A$305,A16)</f>
        <v>15</v>
      </c>
      <c r="C16" s="2" t="n">
        <f aca="false">COUNTIFS(Prisanalyse!$A$2:$A$305,A16,Prisanalyse!$I$2:$I$305,"HØJ")</f>
        <v>4</v>
      </c>
      <c r="D16" s="2" t="n">
        <f aca="false">COUNTIFS(Prisanalyse!$A$2:$A$305,A16,Prisanalyse!$I$2:$I$305,"MIDDEL")</f>
        <v>8</v>
      </c>
    </row>
    <row r="17" customFormat="false" ht="15" hidden="false" customHeight="false" outlineLevel="0" collapsed="false">
      <c r="A17" s="2" t="s">
        <v>23</v>
      </c>
      <c r="B17" s="2" t="n">
        <f aca="false">COUNTIF(Prisanalyse!$A$2:$A$305,A17)</f>
        <v>3</v>
      </c>
      <c r="C17" s="2" t="n">
        <f aca="false">COUNTIFS(Prisanalyse!$A$2:$A$305,A17,Prisanalyse!$I$2:$I$305,"HØJ")</f>
        <v>1</v>
      </c>
      <c r="D17" s="2" t="n">
        <f aca="false">COUNTIFS(Prisanalyse!$A$2:$A$305,A17,Prisanalyse!$I$2:$I$305,"MIDDEL")</f>
        <v>0</v>
      </c>
    </row>
    <row r="18" customFormat="false" ht="15" hidden="false" customHeight="false" outlineLevel="0" collapsed="false">
      <c r="A18" s="2" t="s">
        <v>24</v>
      </c>
      <c r="B18" s="2" t="n">
        <f aca="false">COUNTIF(Prisanalyse!$A$2:$A$305,A18)</f>
        <v>33</v>
      </c>
      <c r="C18" s="2" t="n">
        <f aca="false">COUNTIFS(Prisanalyse!$A$2:$A$305,A18,Prisanalyse!$I$2:$I$305,"HØJ")</f>
        <v>10</v>
      </c>
      <c r="D18" s="2" t="n">
        <f aca="false">COUNTIFS(Prisanalyse!$A$2:$A$305,A18,Prisanalyse!$I$2:$I$305,"MIDDEL")</f>
        <v>6</v>
      </c>
    </row>
    <row r="19" customFormat="false" ht="15" hidden="false" customHeight="false" outlineLevel="0" collapsed="false">
      <c r="A19" s="2" t="s">
        <v>25</v>
      </c>
      <c r="B19" s="2" t="n">
        <f aca="false">COUNTIF(Prisanalyse!$A$2:$A$305,A19)</f>
        <v>4</v>
      </c>
      <c r="C19" s="2" t="n">
        <f aca="false">COUNTIFS(Prisanalyse!$A$2:$A$305,A19,Prisanalyse!$I$2:$I$305,"HØJ")</f>
        <v>0</v>
      </c>
      <c r="D19" s="2" t="n">
        <f aca="false">COUNTIFS(Prisanalyse!$A$2:$A$305,A19,Prisanalyse!$I$2:$I$305,"MIDDEL")</f>
        <v>4</v>
      </c>
    </row>
    <row r="20" customFormat="false" ht="15" hidden="false" customHeight="false" outlineLevel="0" collapsed="false">
      <c r="A20" s="2" t="s">
        <v>26</v>
      </c>
      <c r="B20" s="2" t="n">
        <f aca="false">COUNTIF(Prisanalyse!$A$2:$A$305,A20)</f>
        <v>4</v>
      </c>
      <c r="C20" s="2" t="n">
        <f aca="false">COUNTIFS(Prisanalyse!$A$2:$A$305,A20,Prisanalyse!$I$2:$I$305,"HØJ")</f>
        <v>0</v>
      </c>
      <c r="D20" s="2" t="n">
        <f aca="false">COUNTIFS(Prisanalyse!$A$2:$A$305,A20,Prisanalyse!$I$2:$I$305,"MIDDEL")</f>
        <v>3</v>
      </c>
    </row>
    <row r="21" customFormat="false" ht="15" hidden="false" customHeight="false" outlineLevel="0" collapsed="false">
      <c r="A21" s="2" t="s">
        <v>27</v>
      </c>
      <c r="B21" s="2" t="n">
        <f aca="false">COUNTIF(Prisanalyse!$A$2:$A$305,A21)</f>
        <v>58</v>
      </c>
      <c r="C21" s="2" t="n">
        <f aca="false">COUNTIFS(Prisanalyse!$A$2:$A$305,A21,Prisanalyse!$I$2:$I$305,"HØJ")</f>
        <v>10</v>
      </c>
      <c r="D21" s="2" t="n">
        <f aca="false">COUNTIFS(Prisanalyse!$A$2:$A$305,A21,Prisanalyse!$I$2:$I$305,"MIDDEL")</f>
        <v>18</v>
      </c>
    </row>
    <row r="22" customFormat="false" ht="15" hidden="false" customHeight="false" outlineLevel="0" collapsed="false">
      <c r="A22" s="2" t="s">
        <v>28</v>
      </c>
      <c r="B22" s="2" t="n">
        <f aca="false">COUNTIF(Prisanalyse!$A$2:$A$305,A22)</f>
        <v>10</v>
      </c>
      <c r="C22" s="2" t="n">
        <f aca="false">COUNTIFS(Prisanalyse!$A$2:$A$305,A22,Prisanalyse!$I$2:$I$305,"HØJ")</f>
        <v>6</v>
      </c>
      <c r="D22" s="2" t="n">
        <f aca="false">COUNTIFS(Prisanalyse!$A$2:$A$305,A22,Prisanalyse!$I$2:$I$305,"MIDDEL")</f>
        <v>0</v>
      </c>
    </row>
    <row r="23" customFormat="false" ht="15" hidden="false" customHeight="false" outlineLevel="0" collapsed="false">
      <c r="A23" s="2" t="s">
        <v>29</v>
      </c>
      <c r="B23" s="2" t="n">
        <f aca="false">COUNTIF(Prisanalyse!$A$2:$A$305,A23)</f>
        <v>27</v>
      </c>
      <c r="C23" s="2" t="n">
        <f aca="false">COUNTIFS(Prisanalyse!$A$2:$A$305,A23,Prisanalyse!$I$2:$I$305,"HØJ")</f>
        <v>7</v>
      </c>
      <c r="D23" s="2" t="n">
        <f aca="false">COUNTIFS(Prisanalyse!$A$2:$A$305,A23,Prisanalyse!$I$2:$I$305,"MIDDEL")</f>
        <v>7</v>
      </c>
    </row>
    <row r="24" customFormat="false" ht="15" hidden="false" customHeight="false" outlineLevel="0" collapsed="false">
      <c r="A24" s="2" t="s">
        <v>30</v>
      </c>
      <c r="B24" s="2" t="n">
        <f aca="false">COUNTIF(Prisanalyse!$A$2:$A$305,A24)</f>
        <v>101</v>
      </c>
      <c r="C24" s="2" t="n">
        <f aca="false">COUNTIFS(Prisanalyse!$A$2:$A$305,A24,Prisanalyse!$I$2:$I$305,"HØJ")</f>
        <v>35</v>
      </c>
      <c r="D24" s="2" t="n">
        <f aca="false">COUNTIFS(Prisanalyse!$A$2:$A$305,A24,Prisanalyse!$I$2:$I$305,"MIDDEL")</f>
        <v>20</v>
      </c>
    </row>
    <row r="25" customFormat="false" ht="15" hidden="false" customHeight="false" outlineLevel="0" collapsed="false">
      <c r="A25" s="2" t="s">
        <v>31</v>
      </c>
      <c r="B25" s="2" t="n">
        <f aca="false">COUNTIF(Prisanalyse!$A$2:$A$305,A25)</f>
        <v>10</v>
      </c>
      <c r="C25" s="2" t="n">
        <f aca="false">COUNTIFS(Prisanalyse!$A$2:$A$305,A25,Prisanalyse!$I$2:$I$305,"HØJ")</f>
        <v>1</v>
      </c>
      <c r="D25" s="2" t="n">
        <f aca="false">COUNTIFS(Prisanalyse!$A$2:$A$305,A25,Prisanalyse!$I$2:$I$305,"MIDDEL")</f>
        <v>0</v>
      </c>
    </row>
    <row r="26" customFormat="false" ht="15" hidden="false" customHeight="false" outlineLevel="0" collapsed="false">
      <c r="A26" s="2" t="s">
        <v>32</v>
      </c>
      <c r="B26" s="2" t="n">
        <f aca="false">COUNTIF(Prisanalyse!$A$2:$A$305,A26)</f>
        <v>25</v>
      </c>
      <c r="C26" s="2" t="n">
        <f aca="false">COUNTIFS(Prisanalyse!$A$2:$A$305,A26,Prisanalyse!$I$2:$I$305,"HØJ")</f>
        <v>13</v>
      </c>
      <c r="D26" s="2" t="n">
        <f aca="false">COUNTIFS(Prisanalyse!$A$2:$A$305,A26,Prisanalyse!$I$2:$I$305,"MIDDEL")</f>
        <v>7</v>
      </c>
    </row>
    <row r="27" customFormat="false" ht="15" hidden="false" customHeight="false" outlineLevel="0" collapsed="false">
      <c r="A27" s="2" t="s">
        <v>33</v>
      </c>
      <c r="B27" s="2" t="n">
        <f aca="false">COUNTIF(Prisanalyse!$A$2:$A$305,A27)</f>
        <v>14</v>
      </c>
      <c r="C27" s="2" t="n">
        <f aca="false">COUNTIFS(Prisanalyse!$A$2:$A$305,A27,Prisanalyse!$I$2:$I$305,"HØJ")</f>
        <v>4</v>
      </c>
      <c r="D27" s="2" t="n">
        <f aca="false">COUNTIFS(Prisanalyse!$A$2:$A$305,A27,Prisanalyse!$I$2:$I$305,"MIDDEL")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44"/>
    <col collapsed="false" customWidth="true" hidden="false" outlineLevel="0" max="14" min="14" style="0" width="64"/>
  </cols>
  <sheetData>
    <row r="1" customFormat="false" ht="31.5" hidden="false" customHeight="true" outlineLevel="0" collapsed="false">
      <c r="A1" s="10" t="s">
        <v>18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2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</row>
    <row r="2" customFormat="false" ht="15" hidden="false" customHeight="false" outlineLevel="0" collapsed="false">
      <c r="A2" s="11" t="s">
        <v>32</v>
      </c>
      <c r="B2" s="11" t="s">
        <v>46</v>
      </c>
      <c r="C2" s="11" t="s">
        <v>47</v>
      </c>
      <c r="D2" s="11" t="s">
        <v>48</v>
      </c>
      <c r="E2" s="12" t="n">
        <v>161</v>
      </c>
      <c r="F2" s="13" t="n">
        <f aca="false">E2/(1+Forudsætninger!$B$3)</f>
        <v>128.8</v>
      </c>
      <c r="G2" s="14" t="n">
        <v>128.7</v>
      </c>
      <c r="H2" s="15" t="n">
        <f aca="false">IF(OR(G2="",F2=0),"",(F2-G2)/F2)</f>
        <v>0.000776397515528127</v>
      </c>
      <c r="I2" s="11" t="str">
        <f aca="false">IF(G2="","UKENDT",IF(OR(E2=0,H2&lt;0),"KRITISK",IF(H2&lt;0.2,"HØJ",IF(H2&lt;0.35,"MIDDEL","OK"))))</f>
        <v>HØJ</v>
      </c>
      <c r="J2" s="12" t="n">
        <f aca="false">IF(G2="","",MAX(E2,CEILING(G2/(1-Forudsætninger!$B$4)*(1+Forudsætninger!$B$3),IF(G2/(1-Forudsætninger!$B$4)*(1+Forudsætninger!$B$3)&lt;50,1,IF(G2/(1-Forudsætninger!$B$4)*(1+Forudsætninger!$B$3)&lt;200,5,10)))))</f>
        <v>300</v>
      </c>
      <c r="K2" s="15" t="n">
        <f aca="false">IF(OR(J2="",E2=0),"",J2/E2-1)</f>
        <v>0.863354037267081</v>
      </c>
      <c r="L2" s="15" t="n">
        <f aca="false">IF(J2="","",(J2/(1+Forudsætninger!$B$3)-G2)/(J2/(1+Forudsætninger!$B$3)))</f>
        <v>0.46375</v>
      </c>
      <c r="M2" s="11" t="s">
        <v>49</v>
      </c>
      <c r="N2" s="11"/>
    </row>
    <row r="3" customFormat="false" ht="15" hidden="false" customHeight="false" outlineLevel="0" collapsed="false">
      <c r="A3" s="11" t="s">
        <v>24</v>
      </c>
      <c r="B3" s="11" t="s">
        <v>50</v>
      </c>
      <c r="C3" s="11" t="s">
        <v>51</v>
      </c>
      <c r="D3" s="11" t="s">
        <v>52</v>
      </c>
      <c r="E3" s="12" t="n">
        <v>22</v>
      </c>
      <c r="F3" s="13" t="n">
        <f aca="false">E3/(1+Forudsætninger!$B$3)</f>
        <v>17.6</v>
      </c>
      <c r="G3" s="14" t="n">
        <v>17.556</v>
      </c>
      <c r="H3" s="15" t="n">
        <f aca="false">IF(OR(G3="",F3=0),"",(F3-G3)/F3)</f>
        <v>0.00250000000000003</v>
      </c>
      <c r="I3" s="11" t="str">
        <f aca="false">IF(G3="","UKENDT",IF(OR(E3=0,H3&lt;0),"KRITISK",IF(H3&lt;0.2,"HØJ",IF(H3&lt;0.35,"MIDDEL","OK"))))</f>
        <v>HØJ</v>
      </c>
      <c r="J3" s="12" t="n">
        <f aca="false">IF(G3="","",MAX(E3,CEILING(G3/(1-Forudsætninger!$B$4)*(1+Forudsætninger!$B$3),IF(G3/(1-Forudsætninger!$B$4)*(1+Forudsætninger!$B$3)&lt;50,1,IF(G3/(1-Forudsætninger!$B$4)*(1+Forudsætninger!$B$3)&lt;200,5,10)))))</f>
        <v>40</v>
      </c>
      <c r="K3" s="15" t="n">
        <f aca="false">IF(OR(J3="",E3=0),"",J3/E3-1)</f>
        <v>0.818181818181818</v>
      </c>
      <c r="L3" s="15" t="n">
        <f aca="false">IF(J3="","",(J3/(1+Forudsætninger!$B$3)-G3)/(J3/(1+Forudsætninger!$B$3)))</f>
        <v>0.451375</v>
      </c>
      <c r="M3" s="11" t="s">
        <v>53</v>
      </c>
      <c r="N3" s="11"/>
    </row>
    <row r="4" customFormat="false" ht="15" hidden="false" customHeight="false" outlineLevel="0" collapsed="false">
      <c r="A4" s="11" t="s">
        <v>24</v>
      </c>
      <c r="B4" s="11" t="s">
        <v>50</v>
      </c>
      <c r="C4" s="11" t="s">
        <v>54</v>
      </c>
      <c r="D4" s="11" t="s">
        <v>55</v>
      </c>
      <c r="E4" s="12" t="n">
        <v>40</v>
      </c>
      <c r="F4" s="13" t="n">
        <f aca="false">E4/(1+Forudsætninger!$B$3)</f>
        <v>32</v>
      </c>
      <c r="G4" s="14" t="n">
        <v>31.9</v>
      </c>
      <c r="H4" s="15" t="n">
        <f aca="false">IF(OR(G4="",F4=0),"",(F4-G4)/F4)</f>
        <v>0.00312500000000004</v>
      </c>
      <c r="I4" s="11" t="str">
        <f aca="false">IF(G4="","UKENDT",IF(OR(E4=0,H4&lt;0),"KRITISK",IF(H4&lt;0.2,"HØJ",IF(H4&lt;0.35,"MIDDEL","OK"))))</f>
        <v>HØJ</v>
      </c>
      <c r="J4" s="12" t="n">
        <f aca="false">IF(G4="","",MAX(E4,CEILING(G4/(1-Forudsætninger!$B$4)*(1+Forudsætninger!$B$3),IF(G4/(1-Forudsætninger!$B$4)*(1+Forudsætninger!$B$3)&lt;50,1,IF(G4/(1-Forudsætninger!$B$4)*(1+Forudsætninger!$B$3)&lt;200,5,10)))))</f>
        <v>75</v>
      </c>
      <c r="K4" s="15" t="n">
        <f aca="false">IF(OR(J4="",E4=0),"",J4/E4-1)</f>
        <v>0.875</v>
      </c>
      <c r="L4" s="15" t="n">
        <f aca="false">IF(J4="","",(J4/(1+Forudsætninger!$B$3)-G4)/(J4/(1+Forudsætninger!$B$3)))</f>
        <v>0.468333333333333</v>
      </c>
      <c r="M4" s="11" t="s">
        <v>56</v>
      </c>
      <c r="N4" s="11"/>
    </row>
    <row r="5" customFormat="false" ht="15" hidden="false" customHeight="false" outlineLevel="0" collapsed="false">
      <c r="A5" s="11" t="s">
        <v>23</v>
      </c>
      <c r="B5" s="11" t="s">
        <v>57</v>
      </c>
      <c r="C5" s="11" t="s">
        <v>58</v>
      </c>
      <c r="D5" s="11" t="s">
        <v>59</v>
      </c>
      <c r="E5" s="12" t="n">
        <v>450</v>
      </c>
      <c r="F5" s="13" t="n">
        <f aca="false">E5/(1+Forudsætninger!$B$3)</f>
        <v>360</v>
      </c>
      <c r="G5" s="14" t="n">
        <v>358.468</v>
      </c>
      <c r="H5" s="15" t="n">
        <f aca="false">IF(OR(G5="",F5=0),"",(F5-G5)/F5)</f>
        <v>0.00425555555555551</v>
      </c>
      <c r="I5" s="11" t="str">
        <f aca="false">IF(G5="","UKENDT",IF(OR(E5=0,H5&lt;0),"KRITISK",IF(H5&lt;0.2,"HØJ",IF(H5&lt;0.35,"MIDDEL","OK"))))</f>
        <v>HØJ</v>
      </c>
      <c r="J5" s="12" t="n">
        <f aca="false">IF(G5="","",MAX(E5,CEILING(G5/(1-Forudsætninger!$B$4)*(1+Forudsætninger!$B$3),IF(G5/(1-Forudsætninger!$B$4)*(1+Forudsætninger!$B$3)&lt;50,1,IF(G5/(1-Forudsætninger!$B$4)*(1+Forudsætninger!$B$3)&lt;200,5,10)))))</f>
        <v>820</v>
      </c>
      <c r="K5" s="15" t="n">
        <f aca="false">IF(OR(J5="",E5=0),"",J5/E5-1)</f>
        <v>0.822222222222222</v>
      </c>
      <c r="L5" s="15" t="n">
        <f aca="false">IF(J5="","",(J5/(1+Forudsætninger!$B$3)-G5)/(J5/(1+Forudsætninger!$B$3)))</f>
        <v>0.453554878048781</v>
      </c>
      <c r="M5" s="11" t="s">
        <v>60</v>
      </c>
      <c r="N5" s="11"/>
    </row>
    <row r="6" customFormat="false" ht="15" hidden="false" customHeight="false" outlineLevel="0" collapsed="false">
      <c r="A6" s="11" t="s">
        <v>32</v>
      </c>
      <c r="B6" s="11" t="s">
        <v>61</v>
      </c>
      <c r="C6" s="11" t="s">
        <v>62</v>
      </c>
      <c r="D6" s="11" t="s">
        <v>63</v>
      </c>
      <c r="E6" s="12" t="n">
        <v>111</v>
      </c>
      <c r="F6" s="13" t="n">
        <f aca="false">E6/(1+Forudsætninger!$B$3)</f>
        <v>88.8</v>
      </c>
      <c r="G6" s="14" t="n">
        <v>88</v>
      </c>
      <c r="H6" s="15" t="n">
        <f aca="false">IF(OR(G6="",F6=0),"",(F6-G6)/F6)</f>
        <v>0.00900900900900898</v>
      </c>
      <c r="I6" s="11" t="str">
        <f aca="false">IF(G6="","UKENDT",IF(OR(E6=0,H6&lt;0),"KRITISK",IF(H6&lt;0.2,"HØJ",IF(H6&lt;0.35,"MIDDEL","OK"))))</f>
        <v>HØJ</v>
      </c>
      <c r="J6" s="12" t="n">
        <f aca="false">IF(G6="","",MAX(E6,CEILING(G6/(1-Forudsætninger!$B$4)*(1+Forudsætninger!$B$3),IF(G6/(1-Forudsætninger!$B$4)*(1+Forudsætninger!$B$3)&lt;50,1,IF(G6/(1-Forudsætninger!$B$4)*(1+Forudsætninger!$B$3)&lt;200,5,10)))))</f>
        <v>200</v>
      </c>
      <c r="K6" s="15" t="n">
        <f aca="false">IF(OR(J6="",E6=0),"",J6/E6-1)</f>
        <v>0.801801801801802</v>
      </c>
      <c r="L6" s="15" t="n">
        <f aca="false">IF(J6="","",(J6/(1+Forudsætninger!$B$3)-G6)/(J6/(1+Forudsætninger!$B$3)))</f>
        <v>0.45</v>
      </c>
      <c r="M6" s="11" t="s">
        <v>64</v>
      </c>
      <c r="N6" s="11"/>
    </row>
    <row r="7" customFormat="false" ht="15" hidden="false" customHeight="false" outlineLevel="0" collapsed="false">
      <c r="A7" s="11" t="s">
        <v>32</v>
      </c>
      <c r="B7" s="11" t="s">
        <v>65</v>
      </c>
      <c r="C7" s="11" t="s">
        <v>47</v>
      </c>
      <c r="D7" s="11" t="s">
        <v>66</v>
      </c>
      <c r="E7" s="12" t="n">
        <v>90</v>
      </c>
      <c r="F7" s="13" t="n">
        <f aca="false">E7/(1+Forudsætninger!$B$3)</f>
        <v>72</v>
      </c>
      <c r="G7" s="14" t="n">
        <v>70.4</v>
      </c>
      <c r="H7" s="15" t="n">
        <f aca="false">IF(OR(G7="",F7=0),"",(F7-G7)/F7)</f>
        <v>0.0222222222222221</v>
      </c>
      <c r="I7" s="11" t="str">
        <f aca="false">IF(G7="","UKENDT",IF(OR(E7=0,H7&lt;0),"KRITISK",IF(H7&lt;0.2,"HØJ",IF(H7&lt;0.35,"MIDDEL","OK"))))</f>
        <v>HØJ</v>
      </c>
      <c r="J7" s="12" t="n">
        <f aca="false">IF(G7="","",MAX(E7,CEILING(G7/(1-Forudsætninger!$B$4)*(1+Forudsætninger!$B$3),IF(G7/(1-Forudsætninger!$B$4)*(1+Forudsætninger!$B$3)&lt;50,1,IF(G7/(1-Forudsætninger!$B$4)*(1+Forudsætninger!$B$3)&lt;200,5,10)))))</f>
        <v>160</v>
      </c>
      <c r="K7" s="15" t="n">
        <f aca="false">IF(OR(J7="",E7=0),"",J7/E7-1)</f>
        <v>0.777777777777778</v>
      </c>
      <c r="L7" s="15" t="n">
        <f aca="false">IF(J7="","",(J7/(1+Forudsætninger!$B$3)-G7)/(J7/(1+Forudsætninger!$B$3)))</f>
        <v>0.45</v>
      </c>
      <c r="M7" s="11" t="s">
        <v>67</v>
      </c>
      <c r="N7" s="11"/>
    </row>
    <row r="8" customFormat="false" ht="15" hidden="false" customHeight="false" outlineLevel="0" collapsed="false">
      <c r="A8" s="11" t="s">
        <v>24</v>
      </c>
      <c r="B8" s="11" t="s">
        <v>50</v>
      </c>
      <c r="C8" s="11" t="s">
        <v>68</v>
      </c>
      <c r="D8" s="11" t="s">
        <v>69</v>
      </c>
      <c r="E8" s="12" t="n">
        <v>34</v>
      </c>
      <c r="F8" s="13" t="n">
        <f aca="false">E8/(1+Forudsætninger!$B$3)</f>
        <v>27.2</v>
      </c>
      <c r="G8" s="14" t="n">
        <v>26.576</v>
      </c>
      <c r="H8" s="15" t="n">
        <f aca="false">IF(OR(G8="",F8=0),"",(F8-G8)/F8)</f>
        <v>0.0229411764705882</v>
      </c>
      <c r="I8" s="11" t="str">
        <f aca="false">IF(G8="","UKENDT",IF(OR(E8=0,H8&lt;0),"KRITISK",IF(H8&lt;0.2,"HØJ",IF(H8&lt;0.35,"MIDDEL","OK"))))</f>
        <v>HØJ</v>
      </c>
      <c r="J8" s="12" t="n">
        <f aca="false">IF(G8="","",MAX(E8,CEILING(G8/(1-Forudsætninger!$B$4)*(1+Forudsætninger!$B$3),IF(G8/(1-Forudsætninger!$B$4)*(1+Forudsætninger!$B$3)&lt;50,1,IF(G8/(1-Forudsætninger!$B$4)*(1+Forudsætninger!$B$3)&lt;200,5,10)))))</f>
        <v>65</v>
      </c>
      <c r="K8" s="15" t="n">
        <f aca="false">IF(OR(J8="",E8=0),"",J8/E8-1)</f>
        <v>0.911764705882353</v>
      </c>
      <c r="L8" s="15" t="n">
        <f aca="false">IF(J8="","",(J8/(1+Forudsætninger!$B$3)-G8)/(J8/(1+Forudsætninger!$B$3)))</f>
        <v>0.488923076923077</v>
      </c>
      <c r="M8" s="11" t="s">
        <v>70</v>
      </c>
      <c r="N8" s="11"/>
    </row>
    <row r="9" customFormat="false" ht="15" hidden="false" customHeight="false" outlineLevel="0" collapsed="false">
      <c r="A9" s="11" t="s">
        <v>27</v>
      </c>
      <c r="B9" s="11" t="s">
        <v>71</v>
      </c>
      <c r="C9" s="11" t="s">
        <v>72</v>
      </c>
      <c r="D9" s="11" t="s">
        <v>73</v>
      </c>
      <c r="E9" s="12" t="n">
        <v>106</v>
      </c>
      <c r="F9" s="13" t="n">
        <f aca="false">E9/(1+Forudsætninger!$B$3)</f>
        <v>84.8</v>
      </c>
      <c r="G9" s="14" t="n">
        <v>82.478</v>
      </c>
      <c r="H9" s="15" t="n">
        <f aca="false">IF(OR(G9="",F9=0),"",(F9-G9)/F9)</f>
        <v>0.0273820754716981</v>
      </c>
      <c r="I9" s="11" t="str">
        <f aca="false">IF(G9="","UKENDT",IF(OR(E9=0,H9&lt;0),"KRITISK",IF(H9&lt;0.2,"HØJ",IF(H9&lt;0.35,"MIDDEL","OK"))))</f>
        <v>HØJ</v>
      </c>
      <c r="J9" s="12" t="n">
        <f aca="false">IF(G9="","",MAX(E9,CEILING(G9/(1-Forudsætninger!$B$4)*(1+Forudsætninger!$B$3),IF(G9/(1-Forudsætninger!$B$4)*(1+Forudsætninger!$B$3)&lt;50,1,IF(G9/(1-Forudsætninger!$B$4)*(1+Forudsætninger!$B$3)&lt;200,5,10)))))</f>
        <v>190</v>
      </c>
      <c r="K9" s="15" t="n">
        <f aca="false">IF(OR(J9="",E9=0),"",J9/E9-1)</f>
        <v>0.792452830188679</v>
      </c>
      <c r="L9" s="15" t="n">
        <f aca="false">IF(J9="","",(J9/(1+Forudsætninger!$B$3)-G9)/(J9/(1+Forudsætninger!$B$3)))</f>
        <v>0.457381578947369</v>
      </c>
      <c r="M9" s="11" t="s">
        <v>74</v>
      </c>
      <c r="N9" s="11"/>
    </row>
    <row r="10" customFormat="false" ht="15" hidden="false" customHeight="false" outlineLevel="0" collapsed="false">
      <c r="A10" s="11" t="s">
        <v>32</v>
      </c>
      <c r="B10" s="11" t="s">
        <v>75</v>
      </c>
      <c r="C10" s="11" t="s">
        <v>62</v>
      </c>
      <c r="D10" s="11" t="s">
        <v>76</v>
      </c>
      <c r="E10" s="12" t="n">
        <v>60</v>
      </c>
      <c r="F10" s="13" t="n">
        <f aca="false">E10/(1+Forudsætninger!$B$3)</f>
        <v>48</v>
      </c>
      <c r="G10" s="14" t="n">
        <v>46.64</v>
      </c>
      <c r="H10" s="15" t="n">
        <f aca="false">IF(OR(G10="",F10=0),"",(F10-G10)/F10)</f>
        <v>0.0283333333333333</v>
      </c>
      <c r="I10" s="11" t="str">
        <f aca="false">IF(G10="","UKENDT",IF(OR(E10=0,H10&lt;0),"KRITISK",IF(H10&lt;0.2,"HØJ",IF(H10&lt;0.35,"MIDDEL","OK"))))</f>
        <v>HØJ</v>
      </c>
      <c r="J10" s="12" t="n">
        <f aca="false">IF(G10="","",MAX(E10,CEILING(G10/(1-Forudsætninger!$B$4)*(1+Forudsætninger!$B$3),IF(G10/(1-Forudsætninger!$B$4)*(1+Forudsætninger!$B$3)&lt;50,1,IF(G10/(1-Forudsætninger!$B$4)*(1+Forudsætninger!$B$3)&lt;200,5,10)))))</f>
        <v>110</v>
      </c>
      <c r="K10" s="15" t="n">
        <f aca="false">IF(OR(J10="",E10=0),"",J10/E10-1)</f>
        <v>0.833333333333333</v>
      </c>
      <c r="L10" s="15" t="n">
        <f aca="false">IF(J10="","",(J10/(1+Forudsætninger!$B$3)-G10)/(J10/(1+Forudsætninger!$B$3)))</f>
        <v>0.47</v>
      </c>
      <c r="M10" s="11" t="s">
        <v>77</v>
      </c>
      <c r="N10" s="11"/>
    </row>
    <row r="11" customFormat="false" ht="15" hidden="false" customHeight="false" outlineLevel="0" collapsed="false">
      <c r="A11" s="11" t="s">
        <v>24</v>
      </c>
      <c r="B11" s="11" t="s">
        <v>50</v>
      </c>
      <c r="C11" s="11" t="s">
        <v>78</v>
      </c>
      <c r="D11" s="11" t="s">
        <v>79</v>
      </c>
      <c r="E11" s="12" t="n">
        <v>18</v>
      </c>
      <c r="F11" s="13" t="n">
        <f aca="false">E11/(1+Forudsætninger!$B$3)</f>
        <v>14.4</v>
      </c>
      <c r="G11" s="14" t="n">
        <v>13.86</v>
      </c>
      <c r="H11" s="15" t="n">
        <f aca="false">IF(OR(G11="",F11=0),"",(F11-G11)/F11)</f>
        <v>0.0375000000000001</v>
      </c>
      <c r="I11" s="11" t="str">
        <f aca="false">IF(G11="","UKENDT",IF(OR(E11=0,H11&lt;0),"KRITISK",IF(H11&lt;0.2,"HØJ",IF(H11&lt;0.35,"MIDDEL","OK"))))</f>
        <v>HØJ</v>
      </c>
      <c r="J11" s="12" t="n">
        <f aca="false">IF(G11="","",MAX(E11,CEILING(G11/(1-Forudsætninger!$B$4)*(1+Forudsætninger!$B$3),IF(G11/(1-Forudsætninger!$B$4)*(1+Forudsætninger!$B$3)&lt;50,1,IF(G11/(1-Forudsætninger!$B$4)*(1+Forudsætninger!$B$3)&lt;200,5,10)))))</f>
        <v>32</v>
      </c>
      <c r="K11" s="15" t="n">
        <f aca="false">IF(OR(J11="",E11=0),"",J11/E11-1)</f>
        <v>0.777777777777778</v>
      </c>
      <c r="L11" s="15" t="n">
        <f aca="false">IF(J11="","",(J11/(1+Forudsætninger!$B$3)-G11)/(J11/(1+Forudsætninger!$B$3)))</f>
        <v>0.45859375</v>
      </c>
      <c r="M11" s="11" t="s">
        <v>80</v>
      </c>
      <c r="N11" s="11"/>
    </row>
    <row r="12" customFormat="false" ht="15" hidden="false" customHeight="false" outlineLevel="0" collapsed="false">
      <c r="A12" s="11" t="s">
        <v>33</v>
      </c>
      <c r="B12" s="11" t="s">
        <v>81</v>
      </c>
      <c r="C12" s="11" t="s">
        <v>82</v>
      </c>
      <c r="D12" s="11" t="s">
        <v>83</v>
      </c>
      <c r="E12" s="12" t="n">
        <v>16</v>
      </c>
      <c r="F12" s="13" t="n">
        <f aca="false">E12/(1+Forudsætninger!$B$3)</f>
        <v>12.8</v>
      </c>
      <c r="G12" s="14" t="n">
        <v>12.1</v>
      </c>
      <c r="H12" s="15" t="n">
        <f aca="false">IF(OR(G12="",F12=0),"",(F12-G12)/F12)</f>
        <v>0.0546875000000001</v>
      </c>
      <c r="I12" s="11" t="str">
        <f aca="false">IF(G12="","UKENDT",IF(OR(E12=0,H12&lt;0),"KRITISK",IF(H12&lt;0.2,"HØJ",IF(H12&lt;0.35,"MIDDEL","OK"))))</f>
        <v>HØJ</v>
      </c>
      <c r="J12" s="12" t="n">
        <f aca="false">IF(G12="","",MAX(E12,CEILING(G12/(1-Forudsætninger!$B$4)*(1+Forudsætninger!$B$3),IF(G12/(1-Forudsætninger!$B$4)*(1+Forudsætninger!$B$3)&lt;50,1,IF(G12/(1-Forudsætninger!$B$4)*(1+Forudsætninger!$B$3)&lt;200,5,10)))))</f>
        <v>28</v>
      </c>
      <c r="K12" s="15" t="n">
        <f aca="false">IF(OR(J12="",E12=0),"",J12/E12-1)</f>
        <v>0.75</v>
      </c>
      <c r="L12" s="15" t="n">
        <f aca="false">IF(J12="","",(J12/(1+Forudsætninger!$B$3)-G12)/(J12/(1+Forudsætninger!$B$3)))</f>
        <v>0.459821428571429</v>
      </c>
      <c r="M12" s="11" t="s">
        <v>84</v>
      </c>
      <c r="N12" s="11"/>
    </row>
    <row r="13" customFormat="false" ht="15" hidden="false" customHeight="false" outlineLevel="0" collapsed="false">
      <c r="A13" s="11" t="s">
        <v>33</v>
      </c>
      <c r="B13" s="11" t="s">
        <v>81</v>
      </c>
      <c r="C13" s="11" t="s">
        <v>85</v>
      </c>
      <c r="D13" s="11" t="s">
        <v>86</v>
      </c>
      <c r="E13" s="12" t="n">
        <v>56</v>
      </c>
      <c r="F13" s="13" t="n">
        <f aca="false">E13/(1+Forudsætninger!$B$3)</f>
        <v>44.8</v>
      </c>
      <c r="G13" s="14" t="n">
        <v>41.8</v>
      </c>
      <c r="H13" s="15" t="n">
        <f aca="false">IF(OR(G13="",F13=0),"",(F13-G13)/F13)</f>
        <v>0.0669642857142857</v>
      </c>
      <c r="I13" s="11" t="str">
        <f aca="false">IF(G13="","UKENDT",IF(OR(E13=0,H13&lt;0),"KRITISK",IF(H13&lt;0.2,"HØJ",IF(H13&lt;0.35,"MIDDEL","OK"))))</f>
        <v>HØJ</v>
      </c>
      <c r="J13" s="12" t="n">
        <f aca="false">IF(G13="","",MAX(E13,CEILING(G13/(1-Forudsætninger!$B$4)*(1+Forudsætninger!$B$3),IF(G13/(1-Forudsætninger!$B$4)*(1+Forudsætninger!$B$3)&lt;50,1,IF(G13/(1-Forudsætninger!$B$4)*(1+Forudsætninger!$B$3)&lt;200,5,10)))))</f>
        <v>95</v>
      </c>
      <c r="K13" s="15" t="n">
        <f aca="false">IF(OR(J13="",E13=0),"",J13/E13-1)</f>
        <v>0.696428571428571</v>
      </c>
      <c r="L13" s="15" t="n">
        <f aca="false">IF(J13="","",(J13/(1+Forudsætninger!$B$3)-G13)/(J13/(1+Forudsætninger!$B$3)))</f>
        <v>0.45</v>
      </c>
      <c r="M13" s="11" t="s">
        <v>87</v>
      </c>
      <c r="N13" s="11"/>
    </row>
    <row r="14" customFormat="false" ht="15" hidden="false" customHeight="false" outlineLevel="0" collapsed="false">
      <c r="A14" s="11" t="s">
        <v>29</v>
      </c>
      <c r="B14" s="11" t="s">
        <v>88</v>
      </c>
      <c r="C14" s="11" t="s">
        <v>89</v>
      </c>
      <c r="D14" s="11" t="s">
        <v>90</v>
      </c>
      <c r="E14" s="12" t="n">
        <v>70</v>
      </c>
      <c r="F14" s="13" t="n">
        <f aca="false">E14/(1+Forudsætninger!$B$3)</f>
        <v>56</v>
      </c>
      <c r="G14" s="14" t="n">
        <v>51.7</v>
      </c>
      <c r="H14" s="15" t="n">
        <f aca="false">IF(OR(G14="",F14=0),"",(F14-G14)/F14)</f>
        <v>0.0767857142857142</v>
      </c>
      <c r="I14" s="11" t="str">
        <f aca="false">IF(G14="","UKENDT",IF(OR(E14=0,H14&lt;0),"KRITISK",IF(H14&lt;0.2,"HØJ",IF(H14&lt;0.35,"MIDDEL","OK"))))</f>
        <v>HØJ</v>
      </c>
      <c r="J14" s="12" t="n">
        <f aca="false">IF(G14="","",MAX(E14,CEILING(G14/(1-Forudsætninger!$B$4)*(1+Forudsætninger!$B$3),IF(G14/(1-Forudsætninger!$B$4)*(1+Forudsætninger!$B$3)&lt;50,1,IF(G14/(1-Forudsætninger!$B$4)*(1+Forudsætninger!$B$3)&lt;200,5,10)))))</f>
        <v>120</v>
      </c>
      <c r="K14" s="15" t="n">
        <f aca="false">IF(OR(J14="",E14=0),"",J14/E14-1)</f>
        <v>0.714285714285714</v>
      </c>
      <c r="L14" s="15" t="n">
        <f aca="false">IF(J14="","",(J14/(1+Forudsætninger!$B$3)-G14)/(J14/(1+Forudsætninger!$B$3)))</f>
        <v>0.461458333333333</v>
      </c>
      <c r="M14" s="11" t="s">
        <v>91</v>
      </c>
      <c r="N14" s="11"/>
    </row>
    <row r="15" customFormat="false" ht="15" hidden="false" customHeight="false" outlineLevel="0" collapsed="false">
      <c r="A15" s="11" t="s">
        <v>22</v>
      </c>
      <c r="B15" s="11" t="s">
        <v>92</v>
      </c>
      <c r="C15" s="11" t="s">
        <v>93</v>
      </c>
      <c r="D15" s="11" t="s">
        <v>94</v>
      </c>
      <c r="E15" s="12" t="n">
        <v>653</v>
      </c>
      <c r="F15" s="13" t="n">
        <f aca="false">E15/(1+Forudsætninger!$B$3)</f>
        <v>522.4</v>
      </c>
      <c r="G15" s="14" t="n">
        <v>481.8</v>
      </c>
      <c r="H15" s="15" t="n">
        <f aca="false">IF(OR(G15="",F15=0),"",(F15-G15)/F15)</f>
        <v>0.0777182235834609</v>
      </c>
      <c r="I15" s="11" t="str">
        <f aca="false">IF(G15="","UKENDT",IF(OR(E15=0,H15&lt;0),"KRITISK",IF(H15&lt;0.2,"HØJ",IF(H15&lt;0.35,"MIDDEL","OK"))))</f>
        <v>HØJ</v>
      </c>
      <c r="J15" s="12" t="n">
        <f aca="false">IF(G15="","",MAX(E15,CEILING(G15/(1-Forudsætninger!$B$4)*(1+Forudsætninger!$B$3),IF(G15/(1-Forudsætninger!$B$4)*(1+Forudsætninger!$B$3)&lt;50,1,IF(G15/(1-Forudsætninger!$B$4)*(1+Forudsætninger!$B$3)&lt;200,5,10)))))</f>
        <v>1100</v>
      </c>
      <c r="K15" s="15" t="n">
        <f aca="false">IF(OR(J15="",E15=0),"",J15/E15-1)</f>
        <v>0.684532924961715</v>
      </c>
      <c r="L15" s="15" t="n">
        <f aca="false">IF(J15="","",(J15/(1+Forudsætninger!$B$3)-G15)/(J15/(1+Forudsætninger!$B$3)))</f>
        <v>0.4525</v>
      </c>
      <c r="M15" s="11" t="s">
        <v>95</v>
      </c>
      <c r="N15" s="11"/>
    </row>
    <row r="16" customFormat="false" ht="15" hidden="false" customHeight="false" outlineLevel="0" collapsed="false">
      <c r="A16" s="11" t="s">
        <v>22</v>
      </c>
      <c r="B16" s="11" t="s">
        <v>92</v>
      </c>
      <c r="C16" s="11" t="s">
        <v>96</v>
      </c>
      <c r="D16" s="11" t="s">
        <v>97</v>
      </c>
      <c r="E16" s="12" t="n">
        <v>1305</v>
      </c>
      <c r="F16" s="13" t="n">
        <f aca="false">E16/(1+Forudsætninger!$B$3)</f>
        <v>1044</v>
      </c>
      <c r="G16" s="14" t="n">
        <v>961.4</v>
      </c>
      <c r="H16" s="15" t="n">
        <f aca="false">IF(OR(G16="",F16=0),"",(F16-G16)/F16)</f>
        <v>0.0791187739463602</v>
      </c>
      <c r="I16" s="11" t="str">
        <f aca="false">IF(G16="","UKENDT",IF(OR(E16=0,H16&lt;0),"KRITISK",IF(H16&lt;0.2,"HØJ",IF(H16&lt;0.35,"MIDDEL","OK"))))</f>
        <v>HØJ</v>
      </c>
      <c r="J16" s="12" t="n">
        <f aca="false">IF(G16="","",MAX(E16,CEILING(G16/(1-Forudsætninger!$B$4)*(1+Forudsætninger!$B$3),IF(G16/(1-Forudsætninger!$B$4)*(1+Forudsætninger!$B$3)&lt;50,1,IF(G16/(1-Forudsætninger!$B$4)*(1+Forudsætninger!$B$3)&lt;200,5,10)))))</f>
        <v>2190</v>
      </c>
      <c r="K16" s="15" t="n">
        <f aca="false">IF(OR(J16="",E16=0),"",J16/E16-1)</f>
        <v>0.67816091954023</v>
      </c>
      <c r="L16" s="15" t="n">
        <f aca="false">IF(J16="","",(J16/(1+Forudsætninger!$B$3)-G16)/(J16/(1+Forudsætninger!$B$3)))</f>
        <v>0.451255707762557</v>
      </c>
      <c r="M16" s="11" t="s">
        <v>98</v>
      </c>
      <c r="N16" s="11"/>
    </row>
    <row r="17" customFormat="false" ht="15" hidden="false" customHeight="false" outlineLevel="0" collapsed="false">
      <c r="A17" s="11" t="s">
        <v>27</v>
      </c>
      <c r="B17" s="11" t="s">
        <v>99</v>
      </c>
      <c r="C17" s="11" t="s">
        <v>100</v>
      </c>
      <c r="D17" s="11" t="s">
        <v>101</v>
      </c>
      <c r="E17" s="12" t="n">
        <v>32</v>
      </c>
      <c r="F17" s="13" t="n">
        <f aca="false">E17/(1+Forudsætninger!$B$3)</f>
        <v>25.6</v>
      </c>
      <c r="G17" s="14" t="n">
        <v>23.562</v>
      </c>
      <c r="H17" s="15" t="n">
        <f aca="false">IF(OR(G17="",F17=0),"",(F17-G17)/F17)</f>
        <v>0.079609375</v>
      </c>
      <c r="I17" s="11" t="str">
        <f aca="false">IF(G17="","UKENDT",IF(OR(E17=0,H17&lt;0),"KRITISK",IF(H17&lt;0.2,"HØJ",IF(H17&lt;0.35,"MIDDEL","OK"))))</f>
        <v>HØJ</v>
      </c>
      <c r="J17" s="12" t="n">
        <f aca="false">IF(G17="","",MAX(E17,CEILING(G17/(1-Forudsætninger!$B$4)*(1+Forudsætninger!$B$3),IF(G17/(1-Forudsætninger!$B$4)*(1+Forudsætninger!$B$3)&lt;50,1,IF(G17/(1-Forudsætninger!$B$4)*(1+Forudsætninger!$B$3)&lt;200,5,10)))))</f>
        <v>55</v>
      </c>
      <c r="K17" s="15" t="n">
        <f aca="false">IF(OR(J17="",E17=0),"",J17/E17-1)</f>
        <v>0.71875</v>
      </c>
      <c r="L17" s="15" t="n">
        <f aca="false">IF(J17="","",(J17/(1+Forudsætninger!$B$3)-G17)/(J17/(1+Forudsætninger!$B$3)))</f>
        <v>0.4645</v>
      </c>
      <c r="M17" s="11" t="s">
        <v>102</v>
      </c>
      <c r="N17" s="11"/>
    </row>
    <row r="18" customFormat="false" ht="15" hidden="false" customHeight="false" outlineLevel="0" collapsed="false">
      <c r="A18" s="11" t="s">
        <v>22</v>
      </c>
      <c r="B18" s="11" t="s">
        <v>92</v>
      </c>
      <c r="C18" s="11" t="s">
        <v>103</v>
      </c>
      <c r="D18" s="11" t="s">
        <v>104</v>
      </c>
      <c r="E18" s="12" t="n">
        <v>990</v>
      </c>
      <c r="F18" s="13" t="n">
        <f aca="false">E18/(1+Forudsætninger!$B$3)</f>
        <v>792</v>
      </c>
      <c r="G18" s="14" t="n">
        <v>728.2</v>
      </c>
      <c r="H18" s="15" t="n">
        <f aca="false">IF(OR(G18="",F18=0),"",(F18-G18)/F18)</f>
        <v>0.0805555555555555</v>
      </c>
      <c r="I18" s="11" t="str">
        <f aca="false">IF(G18="","UKENDT",IF(OR(E18=0,H18&lt;0),"KRITISK",IF(H18&lt;0.2,"HØJ",IF(H18&lt;0.35,"MIDDEL","OK"))))</f>
        <v>HØJ</v>
      </c>
      <c r="J18" s="12" t="n">
        <f aca="false">IF(G18="","",MAX(E18,CEILING(G18/(1-Forudsætninger!$B$4)*(1+Forudsætninger!$B$3),IF(G18/(1-Forudsætninger!$B$4)*(1+Forudsætninger!$B$3)&lt;50,1,IF(G18/(1-Forudsætninger!$B$4)*(1+Forudsætninger!$B$3)&lt;200,5,10)))))</f>
        <v>1660</v>
      </c>
      <c r="K18" s="15" t="n">
        <f aca="false">IF(OR(J18="",E18=0),"",J18/E18-1)</f>
        <v>0.676767676767677</v>
      </c>
      <c r="L18" s="15" t="n">
        <f aca="false">IF(J18="","",(J18/(1+Forudsætninger!$B$3)-G18)/(J18/(1+Forudsætninger!$B$3)))</f>
        <v>0.451656626506024</v>
      </c>
      <c r="M18" s="11" t="s">
        <v>105</v>
      </c>
      <c r="N18" s="11"/>
    </row>
    <row r="19" customFormat="false" ht="15" hidden="false" customHeight="false" outlineLevel="0" collapsed="false">
      <c r="A19" s="11" t="s">
        <v>22</v>
      </c>
      <c r="B19" s="11" t="s">
        <v>92</v>
      </c>
      <c r="C19" s="11" t="s">
        <v>106</v>
      </c>
      <c r="D19" s="11" t="s">
        <v>107</v>
      </c>
      <c r="E19" s="12" t="n">
        <v>423</v>
      </c>
      <c r="F19" s="13" t="n">
        <f aca="false">E19/(1+Forudsætninger!$B$3)</f>
        <v>338.4</v>
      </c>
      <c r="G19" s="14" t="n">
        <v>310.2</v>
      </c>
      <c r="H19" s="15" t="n">
        <f aca="false">IF(OR(G19="",F19=0),"",(F19-G19)/F19)</f>
        <v>0.0833333333333333</v>
      </c>
      <c r="I19" s="11" t="str">
        <f aca="false">IF(G19="","UKENDT",IF(OR(E19=0,H19&lt;0),"KRITISK",IF(H19&lt;0.2,"HØJ",IF(H19&lt;0.35,"MIDDEL","OK"))))</f>
        <v>HØJ</v>
      </c>
      <c r="J19" s="12" t="n">
        <f aca="false">IF(G19="","",MAX(E19,CEILING(G19/(1-Forudsætninger!$B$4)*(1+Forudsætninger!$B$3),IF(G19/(1-Forudsætninger!$B$4)*(1+Forudsætninger!$B$3)&lt;50,1,IF(G19/(1-Forudsætninger!$B$4)*(1+Forudsætninger!$B$3)&lt;200,5,10)))))</f>
        <v>710</v>
      </c>
      <c r="K19" s="15" t="n">
        <f aca="false">IF(OR(J19="",E19=0),"",J19/E19-1)</f>
        <v>0.678486997635934</v>
      </c>
      <c r="L19" s="15" t="n">
        <f aca="false">IF(J19="","",(J19/(1+Forudsætninger!$B$3)-G19)/(J19/(1+Forudsætninger!$B$3)))</f>
        <v>0.45387323943662</v>
      </c>
      <c r="M19" s="11" t="s">
        <v>108</v>
      </c>
      <c r="N19" s="11"/>
    </row>
    <row r="20" customFormat="false" ht="15" hidden="false" customHeight="false" outlineLevel="0" collapsed="false">
      <c r="A20" s="11" t="s">
        <v>27</v>
      </c>
      <c r="B20" s="11" t="s">
        <v>109</v>
      </c>
      <c r="C20" s="11" t="s">
        <v>110</v>
      </c>
      <c r="D20" s="11" t="s">
        <v>111</v>
      </c>
      <c r="E20" s="12" t="n">
        <v>105</v>
      </c>
      <c r="F20" s="13" t="n">
        <f aca="false">E20/(1+Forudsætninger!$B$3)</f>
        <v>84</v>
      </c>
      <c r="G20" s="14" t="n">
        <v>77</v>
      </c>
      <c r="H20" s="15" t="n">
        <f aca="false">IF(OR(G20="",F20=0),"",(F20-G20)/F20)</f>
        <v>0.0833333333333333</v>
      </c>
      <c r="I20" s="11" t="str">
        <f aca="false">IF(G20="","UKENDT",IF(OR(E20=0,H20&lt;0),"KRITISK",IF(H20&lt;0.2,"HØJ",IF(H20&lt;0.35,"MIDDEL","OK"))))</f>
        <v>HØJ</v>
      </c>
      <c r="J20" s="12" t="n">
        <f aca="false">IF(G20="","",MAX(E20,CEILING(G20/(1-Forudsætninger!$B$4)*(1+Forudsætninger!$B$3),IF(G20/(1-Forudsætninger!$B$4)*(1+Forudsætninger!$B$3)&lt;50,1,IF(G20/(1-Forudsætninger!$B$4)*(1+Forudsætninger!$B$3)&lt;200,5,10)))))</f>
        <v>175</v>
      </c>
      <c r="K20" s="15" t="n">
        <f aca="false">IF(OR(J20="",E20=0),"",J20/E20-1)</f>
        <v>0.666666666666667</v>
      </c>
      <c r="L20" s="15" t="n">
        <f aca="false">IF(J20="","",(J20/(1+Forudsætninger!$B$3)-G20)/(J20/(1+Forudsætninger!$B$3)))</f>
        <v>0.45</v>
      </c>
      <c r="M20" s="11" t="s">
        <v>112</v>
      </c>
      <c r="N20" s="11"/>
    </row>
    <row r="21" customFormat="false" ht="15" hidden="false" customHeight="false" outlineLevel="0" collapsed="false">
      <c r="A21" s="11" t="s">
        <v>32</v>
      </c>
      <c r="B21" s="11" t="s">
        <v>65</v>
      </c>
      <c r="C21" s="11" t="s">
        <v>62</v>
      </c>
      <c r="D21" s="11" t="s">
        <v>113</v>
      </c>
      <c r="E21" s="12" t="n">
        <v>60</v>
      </c>
      <c r="F21" s="13" t="n">
        <f aca="false">E21/(1+Forudsætninger!$B$3)</f>
        <v>48</v>
      </c>
      <c r="G21" s="14" t="n">
        <v>44</v>
      </c>
      <c r="H21" s="15" t="n">
        <f aca="false">IF(OR(G21="",F21=0),"",(F21-G21)/F21)</f>
        <v>0.0833333333333333</v>
      </c>
      <c r="I21" s="11" t="str">
        <f aca="false">IF(G21="","UKENDT",IF(OR(E21=0,H21&lt;0),"KRITISK",IF(H21&lt;0.2,"HØJ",IF(H21&lt;0.35,"MIDDEL","OK"))))</f>
        <v>HØJ</v>
      </c>
      <c r="J21" s="12" t="n">
        <f aca="false">IF(G21="","",MAX(E21,CEILING(G21/(1-Forudsætninger!$B$4)*(1+Forudsætninger!$B$3),IF(G21/(1-Forudsætninger!$B$4)*(1+Forudsætninger!$B$3)&lt;50,1,IF(G21/(1-Forudsætninger!$B$4)*(1+Forudsætninger!$B$3)&lt;200,5,10)))))</f>
        <v>100</v>
      </c>
      <c r="K21" s="15" t="n">
        <f aca="false">IF(OR(J21="",E21=0),"",J21/E21-1)</f>
        <v>0.666666666666667</v>
      </c>
      <c r="L21" s="15" t="n">
        <f aca="false">IF(J21="","",(J21/(1+Forudsætninger!$B$3)-G21)/(J21/(1+Forudsætninger!$B$3)))</f>
        <v>0.45</v>
      </c>
      <c r="M21" s="11" t="s">
        <v>114</v>
      </c>
      <c r="N21" s="11"/>
    </row>
    <row r="22" customFormat="false" ht="15" hidden="false" customHeight="false" outlineLevel="0" collapsed="false">
      <c r="A22" s="11" t="s">
        <v>32</v>
      </c>
      <c r="B22" s="11" t="s">
        <v>115</v>
      </c>
      <c r="C22" s="11" t="s">
        <v>116</v>
      </c>
      <c r="D22" s="11" t="s">
        <v>117</v>
      </c>
      <c r="E22" s="12" t="n">
        <v>255</v>
      </c>
      <c r="F22" s="13" t="n">
        <f aca="false">E22/(1+Forudsætninger!$B$3)</f>
        <v>204</v>
      </c>
      <c r="G22" s="14" t="n">
        <v>187</v>
      </c>
      <c r="H22" s="15" t="n">
        <f aca="false">IF(OR(G22="",F22=0),"",(F22-G22)/F22)</f>
        <v>0.0833333333333333</v>
      </c>
      <c r="I22" s="11" t="str">
        <f aca="false">IF(G22="","UKENDT",IF(OR(E22=0,H22&lt;0),"KRITISK",IF(H22&lt;0.2,"HØJ",IF(H22&lt;0.35,"MIDDEL","OK"))))</f>
        <v>HØJ</v>
      </c>
      <c r="J22" s="12" t="n">
        <f aca="false">IF(G22="","",MAX(E22,CEILING(G22/(1-Forudsætninger!$B$4)*(1+Forudsætninger!$B$3),IF(G22/(1-Forudsætninger!$B$4)*(1+Forudsætninger!$B$3)&lt;50,1,IF(G22/(1-Forudsætninger!$B$4)*(1+Forudsætninger!$B$3)&lt;200,5,10)))))</f>
        <v>430</v>
      </c>
      <c r="K22" s="15" t="n">
        <f aca="false">IF(OR(J22="",E22=0),"",J22/E22-1)</f>
        <v>0.686274509803922</v>
      </c>
      <c r="L22" s="15" t="n">
        <f aca="false">IF(J22="","",(J22/(1+Forudsætninger!$B$3)-G22)/(J22/(1+Forudsætninger!$B$3)))</f>
        <v>0.456395348837209</v>
      </c>
      <c r="M22" s="11" t="s">
        <v>118</v>
      </c>
      <c r="N22" s="11"/>
    </row>
    <row r="23" customFormat="false" ht="15" hidden="false" customHeight="false" outlineLevel="0" collapsed="false">
      <c r="A23" s="11" t="s">
        <v>30</v>
      </c>
      <c r="B23" s="11" t="s">
        <v>119</v>
      </c>
      <c r="C23" s="11" t="s">
        <v>120</v>
      </c>
      <c r="D23" s="11" t="s">
        <v>121</v>
      </c>
      <c r="E23" s="12" t="n">
        <v>45</v>
      </c>
      <c r="F23" s="13" t="n">
        <f aca="false">E23/(1+Forudsætninger!$B$3)</f>
        <v>36</v>
      </c>
      <c r="G23" s="14" t="n">
        <v>33</v>
      </c>
      <c r="H23" s="15" t="n">
        <f aca="false">IF(OR(G23="",F23=0),"",(F23-G23)/F23)</f>
        <v>0.0833333333333333</v>
      </c>
      <c r="I23" s="11" t="str">
        <f aca="false">IF(G23="","UKENDT",IF(OR(E23=0,H23&lt;0),"KRITISK",IF(H23&lt;0.2,"HØJ",IF(H23&lt;0.35,"MIDDEL","OK"))))</f>
        <v>HØJ</v>
      </c>
      <c r="J23" s="12" t="n">
        <f aca="false">IF(G23="","",MAX(E23,CEILING(G23/(1-Forudsætninger!$B$4)*(1+Forudsætninger!$B$3),IF(G23/(1-Forudsætninger!$B$4)*(1+Forudsætninger!$B$3)&lt;50,1,IF(G23/(1-Forudsætninger!$B$4)*(1+Forudsætninger!$B$3)&lt;200,5,10)))))</f>
        <v>75</v>
      </c>
      <c r="K23" s="15" t="n">
        <f aca="false">IF(OR(J23="",E23=0),"",J23/E23-1)</f>
        <v>0.666666666666667</v>
      </c>
      <c r="L23" s="15" t="n">
        <f aca="false">IF(J23="","",(J23/(1+Forudsætninger!$B$3)-G23)/(J23/(1+Forudsætninger!$B$3)))</f>
        <v>0.45</v>
      </c>
      <c r="M23" s="11" t="s">
        <v>122</v>
      </c>
      <c r="N23" s="11"/>
    </row>
    <row r="24" customFormat="false" ht="15" hidden="false" customHeight="false" outlineLevel="0" collapsed="false">
      <c r="A24" s="11" t="s">
        <v>30</v>
      </c>
      <c r="B24" s="11" t="s">
        <v>119</v>
      </c>
      <c r="C24" s="11" t="s">
        <v>123</v>
      </c>
      <c r="D24" s="11" t="s">
        <v>124</v>
      </c>
      <c r="E24" s="12" t="n">
        <v>45</v>
      </c>
      <c r="F24" s="13" t="n">
        <f aca="false">E24/(1+Forudsætninger!$B$3)</f>
        <v>36</v>
      </c>
      <c r="G24" s="14" t="n">
        <v>33</v>
      </c>
      <c r="H24" s="15" t="n">
        <f aca="false">IF(OR(G24="",F24=0),"",(F24-G24)/F24)</f>
        <v>0.0833333333333333</v>
      </c>
      <c r="I24" s="11" t="str">
        <f aca="false">IF(G24="","UKENDT",IF(OR(E24=0,H24&lt;0),"KRITISK",IF(H24&lt;0.2,"HØJ",IF(H24&lt;0.35,"MIDDEL","OK"))))</f>
        <v>HØJ</v>
      </c>
      <c r="J24" s="12" t="n">
        <f aca="false">IF(G24="","",MAX(E24,CEILING(G24/(1-Forudsætninger!$B$4)*(1+Forudsætninger!$B$3),IF(G24/(1-Forudsætninger!$B$4)*(1+Forudsætninger!$B$3)&lt;50,1,IF(G24/(1-Forudsætninger!$B$4)*(1+Forudsætninger!$B$3)&lt;200,5,10)))))</f>
        <v>75</v>
      </c>
      <c r="K24" s="15" t="n">
        <f aca="false">IF(OR(J24="",E24=0),"",J24/E24-1)</f>
        <v>0.666666666666667</v>
      </c>
      <c r="L24" s="15" t="n">
        <f aca="false">IF(J24="","",(J24/(1+Forudsætninger!$B$3)-G24)/(J24/(1+Forudsætninger!$B$3)))</f>
        <v>0.45</v>
      </c>
      <c r="M24" s="11" t="s">
        <v>125</v>
      </c>
      <c r="N24" s="11"/>
    </row>
    <row r="25" customFormat="false" ht="15" hidden="false" customHeight="false" outlineLevel="0" collapsed="false">
      <c r="A25" s="11" t="s">
        <v>30</v>
      </c>
      <c r="B25" s="11" t="s">
        <v>119</v>
      </c>
      <c r="C25" s="11" t="s">
        <v>126</v>
      </c>
      <c r="D25" s="11" t="s">
        <v>127</v>
      </c>
      <c r="E25" s="12" t="n">
        <v>45</v>
      </c>
      <c r="F25" s="13" t="n">
        <f aca="false">E25/(1+Forudsætninger!$B$3)</f>
        <v>36</v>
      </c>
      <c r="G25" s="14" t="n">
        <v>33</v>
      </c>
      <c r="H25" s="15" t="n">
        <f aca="false">IF(OR(G25="",F25=0),"",(F25-G25)/F25)</f>
        <v>0.0833333333333333</v>
      </c>
      <c r="I25" s="11" t="str">
        <f aca="false">IF(G25="","UKENDT",IF(OR(E25=0,H25&lt;0),"KRITISK",IF(H25&lt;0.2,"HØJ",IF(H25&lt;0.35,"MIDDEL","OK"))))</f>
        <v>HØJ</v>
      </c>
      <c r="J25" s="12" t="n">
        <f aca="false">IF(G25="","",MAX(E25,CEILING(G25/(1-Forudsætninger!$B$4)*(1+Forudsætninger!$B$3),IF(G25/(1-Forudsætninger!$B$4)*(1+Forudsætninger!$B$3)&lt;50,1,IF(G25/(1-Forudsætninger!$B$4)*(1+Forudsætninger!$B$3)&lt;200,5,10)))))</f>
        <v>75</v>
      </c>
      <c r="K25" s="15" t="n">
        <f aca="false">IF(OR(J25="",E25=0),"",J25/E25-1)</f>
        <v>0.666666666666667</v>
      </c>
      <c r="L25" s="15" t="n">
        <f aca="false">IF(J25="","",(J25/(1+Forudsætninger!$B$3)-G25)/(J25/(1+Forudsætninger!$B$3)))</f>
        <v>0.45</v>
      </c>
      <c r="M25" s="11" t="s">
        <v>128</v>
      </c>
      <c r="N25" s="11"/>
    </row>
    <row r="26" customFormat="false" ht="15" hidden="false" customHeight="false" outlineLevel="0" collapsed="false">
      <c r="A26" s="11" t="s">
        <v>30</v>
      </c>
      <c r="B26" s="11" t="s">
        <v>119</v>
      </c>
      <c r="C26" s="11" t="s">
        <v>129</v>
      </c>
      <c r="D26" s="11" t="s">
        <v>130</v>
      </c>
      <c r="E26" s="12" t="n">
        <v>45</v>
      </c>
      <c r="F26" s="13" t="n">
        <f aca="false">E26/(1+Forudsætninger!$B$3)</f>
        <v>36</v>
      </c>
      <c r="G26" s="14" t="n">
        <v>33</v>
      </c>
      <c r="H26" s="15" t="n">
        <f aca="false">IF(OR(G26="",F26=0),"",(F26-G26)/F26)</f>
        <v>0.0833333333333333</v>
      </c>
      <c r="I26" s="11" t="str">
        <f aca="false">IF(G26="","UKENDT",IF(OR(E26=0,H26&lt;0),"KRITISK",IF(H26&lt;0.2,"HØJ",IF(H26&lt;0.35,"MIDDEL","OK"))))</f>
        <v>HØJ</v>
      </c>
      <c r="J26" s="12" t="n">
        <f aca="false">IF(G26="","",MAX(E26,CEILING(G26/(1-Forudsætninger!$B$4)*(1+Forudsætninger!$B$3),IF(G26/(1-Forudsætninger!$B$4)*(1+Forudsætninger!$B$3)&lt;50,1,IF(G26/(1-Forudsætninger!$B$4)*(1+Forudsætninger!$B$3)&lt;200,5,10)))))</f>
        <v>75</v>
      </c>
      <c r="K26" s="15" t="n">
        <f aca="false">IF(OR(J26="",E26=0),"",J26/E26-1)</f>
        <v>0.666666666666667</v>
      </c>
      <c r="L26" s="15" t="n">
        <f aca="false">IF(J26="","",(J26/(1+Forudsætninger!$B$3)-G26)/(J26/(1+Forudsætninger!$B$3)))</f>
        <v>0.45</v>
      </c>
      <c r="M26" s="11" t="s">
        <v>131</v>
      </c>
      <c r="N26" s="11"/>
    </row>
    <row r="27" customFormat="false" ht="15" hidden="false" customHeight="false" outlineLevel="0" collapsed="false">
      <c r="A27" s="11" t="s">
        <v>30</v>
      </c>
      <c r="B27" s="11" t="s">
        <v>119</v>
      </c>
      <c r="C27" s="11" t="s">
        <v>132</v>
      </c>
      <c r="D27" s="11" t="s">
        <v>133</v>
      </c>
      <c r="E27" s="12" t="n">
        <v>45</v>
      </c>
      <c r="F27" s="13" t="n">
        <f aca="false">E27/(1+Forudsætninger!$B$3)</f>
        <v>36</v>
      </c>
      <c r="G27" s="14" t="n">
        <v>33</v>
      </c>
      <c r="H27" s="15" t="n">
        <f aca="false">IF(OR(G27="",F27=0),"",(F27-G27)/F27)</f>
        <v>0.0833333333333333</v>
      </c>
      <c r="I27" s="11" t="str">
        <f aca="false">IF(G27="","UKENDT",IF(OR(E27=0,H27&lt;0),"KRITISK",IF(H27&lt;0.2,"HØJ",IF(H27&lt;0.35,"MIDDEL","OK"))))</f>
        <v>HØJ</v>
      </c>
      <c r="J27" s="12" t="n">
        <f aca="false">IF(G27="","",MAX(E27,CEILING(G27/(1-Forudsætninger!$B$4)*(1+Forudsætninger!$B$3),IF(G27/(1-Forudsætninger!$B$4)*(1+Forudsætninger!$B$3)&lt;50,1,IF(G27/(1-Forudsætninger!$B$4)*(1+Forudsætninger!$B$3)&lt;200,5,10)))))</f>
        <v>75</v>
      </c>
      <c r="K27" s="15" t="n">
        <f aca="false">IF(OR(J27="",E27=0),"",J27/E27-1)</f>
        <v>0.666666666666667</v>
      </c>
      <c r="L27" s="15" t="n">
        <f aca="false">IF(J27="","",(J27/(1+Forudsætninger!$B$3)-G27)/(J27/(1+Forudsætninger!$B$3)))</f>
        <v>0.45</v>
      </c>
      <c r="M27" s="11" t="s">
        <v>134</v>
      </c>
      <c r="N27" s="11"/>
    </row>
    <row r="28" customFormat="false" ht="15" hidden="false" customHeight="false" outlineLevel="0" collapsed="false">
      <c r="A28" s="11" t="s">
        <v>30</v>
      </c>
      <c r="B28" s="11" t="s">
        <v>119</v>
      </c>
      <c r="C28" s="11" t="s">
        <v>135</v>
      </c>
      <c r="D28" s="11" t="s">
        <v>136</v>
      </c>
      <c r="E28" s="12" t="n">
        <v>45</v>
      </c>
      <c r="F28" s="13" t="n">
        <f aca="false">E28/(1+Forudsætninger!$B$3)</f>
        <v>36</v>
      </c>
      <c r="G28" s="14" t="n">
        <v>33</v>
      </c>
      <c r="H28" s="15" t="n">
        <f aca="false">IF(OR(G28="",F28=0),"",(F28-G28)/F28)</f>
        <v>0.0833333333333333</v>
      </c>
      <c r="I28" s="11" t="str">
        <f aca="false">IF(G28="","UKENDT",IF(OR(E28=0,H28&lt;0),"KRITISK",IF(H28&lt;0.2,"HØJ",IF(H28&lt;0.35,"MIDDEL","OK"))))</f>
        <v>HØJ</v>
      </c>
      <c r="J28" s="12" t="n">
        <f aca="false">IF(G28="","",MAX(E28,CEILING(G28/(1-Forudsætninger!$B$4)*(1+Forudsætninger!$B$3),IF(G28/(1-Forudsætninger!$B$4)*(1+Forudsætninger!$B$3)&lt;50,1,IF(G28/(1-Forudsætninger!$B$4)*(1+Forudsætninger!$B$3)&lt;200,5,10)))))</f>
        <v>75</v>
      </c>
      <c r="K28" s="15" t="n">
        <f aca="false">IF(OR(J28="",E28=0),"",J28/E28-1)</f>
        <v>0.666666666666667</v>
      </c>
      <c r="L28" s="15" t="n">
        <f aca="false">IF(J28="","",(J28/(1+Forudsætninger!$B$3)-G28)/(J28/(1+Forudsætninger!$B$3)))</f>
        <v>0.45</v>
      </c>
      <c r="M28" s="11" t="s">
        <v>137</v>
      </c>
      <c r="N28" s="11"/>
    </row>
    <row r="29" customFormat="false" ht="15" hidden="false" customHeight="false" outlineLevel="0" collapsed="false">
      <c r="A29" s="11" t="s">
        <v>30</v>
      </c>
      <c r="B29" s="11" t="s">
        <v>119</v>
      </c>
      <c r="C29" s="11" t="s">
        <v>138</v>
      </c>
      <c r="D29" s="11" t="s">
        <v>139</v>
      </c>
      <c r="E29" s="12" t="n">
        <v>45</v>
      </c>
      <c r="F29" s="13" t="n">
        <f aca="false">E29/(1+Forudsætninger!$B$3)</f>
        <v>36</v>
      </c>
      <c r="G29" s="14" t="n">
        <v>33</v>
      </c>
      <c r="H29" s="15" t="n">
        <f aca="false">IF(OR(G29="",F29=0),"",(F29-G29)/F29)</f>
        <v>0.0833333333333333</v>
      </c>
      <c r="I29" s="11" t="str">
        <f aca="false">IF(G29="","UKENDT",IF(OR(E29=0,H29&lt;0),"KRITISK",IF(H29&lt;0.2,"HØJ",IF(H29&lt;0.35,"MIDDEL","OK"))))</f>
        <v>HØJ</v>
      </c>
      <c r="J29" s="12" t="n">
        <f aca="false">IF(G29="","",MAX(E29,CEILING(G29/(1-Forudsætninger!$B$4)*(1+Forudsætninger!$B$3),IF(G29/(1-Forudsætninger!$B$4)*(1+Forudsætninger!$B$3)&lt;50,1,IF(G29/(1-Forudsætninger!$B$4)*(1+Forudsætninger!$B$3)&lt;200,5,10)))))</f>
        <v>75</v>
      </c>
      <c r="K29" s="15" t="n">
        <f aca="false">IF(OR(J29="",E29=0),"",J29/E29-1)</f>
        <v>0.666666666666667</v>
      </c>
      <c r="L29" s="15" t="n">
        <f aca="false">IF(J29="","",(J29/(1+Forudsætninger!$B$3)-G29)/(J29/(1+Forudsætninger!$B$3)))</f>
        <v>0.45</v>
      </c>
      <c r="M29" s="11" t="s">
        <v>140</v>
      </c>
      <c r="N29" s="11"/>
    </row>
    <row r="30" customFormat="false" ht="15" hidden="false" customHeight="false" outlineLevel="0" collapsed="false">
      <c r="A30" s="11" t="s">
        <v>30</v>
      </c>
      <c r="B30" s="11" t="s">
        <v>119</v>
      </c>
      <c r="C30" s="11" t="s">
        <v>141</v>
      </c>
      <c r="D30" s="11" t="s">
        <v>142</v>
      </c>
      <c r="E30" s="12" t="n">
        <v>45</v>
      </c>
      <c r="F30" s="13" t="n">
        <f aca="false">E30/(1+Forudsætninger!$B$3)</f>
        <v>36</v>
      </c>
      <c r="G30" s="14" t="n">
        <v>33</v>
      </c>
      <c r="H30" s="15" t="n">
        <f aca="false">IF(OR(G30="",F30=0),"",(F30-G30)/F30)</f>
        <v>0.0833333333333333</v>
      </c>
      <c r="I30" s="11" t="str">
        <f aca="false">IF(G30="","UKENDT",IF(OR(E30=0,H30&lt;0),"KRITISK",IF(H30&lt;0.2,"HØJ",IF(H30&lt;0.35,"MIDDEL","OK"))))</f>
        <v>HØJ</v>
      </c>
      <c r="J30" s="12" t="n">
        <f aca="false">IF(G30="","",MAX(E30,CEILING(G30/(1-Forudsætninger!$B$4)*(1+Forudsætninger!$B$3),IF(G30/(1-Forudsætninger!$B$4)*(1+Forudsætninger!$B$3)&lt;50,1,IF(G30/(1-Forudsætninger!$B$4)*(1+Forudsætninger!$B$3)&lt;200,5,10)))))</f>
        <v>75</v>
      </c>
      <c r="K30" s="15" t="n">
        <f aca="false">IF(OR(J30="",E30=0),"",J30/E30-1)</f>
        <v>0.666666666666667</v>
      </c>
      <c r="L30" s="15" t="n">
        <f aca="false">IF(J30="","",(J30/(1+Forudsætninger!$B$3)-G30)/(J30/(1+Forudsætninger!$B$3)))</f>
        <v>0.45</v>
      </c>
      <c r="M30" s="11" t="s">
        <v>143</v>
      </c>
      <c r="N30" s="11"/>
    </row>
    <row r="31" customFormat="false" ht="15" hidden="false" customHeight="false" outlineLevel="0" collapsed="false">
      <c r="A31" s="11" t="s">
        <v>24</v>
      </c>
      <c r="B31" s="11" t="s">
        <v>144</v>
      </c>
      <c r="C31" s="11" t="s">
        <v>145</v>
      </c>
      <c r="D31" s="11" t="s">
        <v>146</v>
      </c>
      <c r="E31" s="12" t="n">
        <v>72</v>
      </c>
      <c r="F31" s="13" t="n">
        <f aca="false">E31/(1+Forudsætninger!$B$3)</f>
        <v>57.6</v>
      </c>
      <c r="G31" s="14" t="n">
        <v>52.8</v>
      </c>
      <c r="H31" s="15" t="n">
        <f aca="false">IF(OR(G31="",F31=0),"",(F31-G31)/F31)</f>
        <v>0.0833333333333334</v>
      </c>
      <c r="I31" s="11" t="str">
        <f aca="false">IF(G31="","UKENDT",IF(OR(E31=0,H31&lt;0),"KRITISK",IF(H31&lt;0.2,"HØJ",IF(H31&lt;0.35,"MIDDEL","OK"))))</f>
        <v>HØJ</v>
      </c>
      <c r="J31" s="12" t="n">
        <f aca="false">IF(G31="","",MAX(E31,CEILING(G31/(1-Forudsætninger!$B$4)*(1+Forudsætninger!$B$3),IF(G31/(1-Forudsætninger!$B$4)*(1+Forudsætninger!$B$3)&lt;50,1,IF(G31/(1-Forudsætninger!$B$4)*(1+Forudsætninger!$B$3)&lt;200,5,10)))))</f>
        <v>120</v>
      </c>
      <c r="K31" s="15" t="n">
        <f aca="false">IF(OR(J31="",E31=0),"",J31/E31-1)</f>
        <v>0.666666666666667</v>
      </c>
      <c r="L31" s="15" t="n">
        <f aca="false">IF(J31="","",(J31/(1+Forudsætninger!$B$3)-G31)/(J31/(1+Forudsætninger!$B$3)))</f>
        <v>0.45</v>
      </c>
      <c r="M31" s="11" t="s">
        <v>147</v>
      </c>
      <c r="N31" s="11"/>
    </row>
    <row r="32" customFormat="false" ht="15" hidden="false" customHeight="false" outlineLevel="0" collapsed="false">
      <c r="A32" s="11" t="s">
        <v>27</v>
      </c>
      <c r="B32" s="11" t="s">
        <v>99</v>
      </c>
      <c r="C32" s="11" t="s">
        <v>148</v>
      </c>
      <c r="D32" s="11" t="s">
        <v>149</v>
      </c>
      <c r="E32" s="12" t="n">
        <v>72</v>
      </c>
      <c r="F32" s="13" t="n">
        <f aca="false">E32/(1+Forudsætninger!$B$3)</f>
        <v>57.6</v>
      </c>
      <c r="G32" s="14" t="n">
        <v>52.734</v>
      </c>
      <c r="H32" s="15" t="n">
        <f aca="false">IF(OR(G32="",F32=0),"",(F32-G32)/F32)</f>
        <v>0.0844791666666667</v>
      </c>
      <c r="I32" s="11" t="str">
        <f aca="false">IF(G32="","UKENDT",IF(OR(E32=0,H32&lt;0),"KRITISK",IF(H32&lt;0.2,"HØJ",IF(H32&lt;0.35,"MIDDEL","OK"))))</f>
        <v>HØJ</v>
      </c>
      <c r="J32" s="12" t="n">
        <f aca="false">IF(G32="","",MAX(E32,CEILING(G32/(1-Forudsætninger!$B$4)*(1+Forudsætninger!$B$3),IF(G32/(1-Forudsætninger!$B$4)*(1+Forudsætninger!$B$3)&lt;50,1,IF(G32/(1-Forudsætninger!$B$4)*(1+Forudsætninger!$B$3)&lt;200,5,10)))))</f>
        <v>120</v>
      </c>
      <c r="K32" s="15" t="n">
        <f aca="false">IF(OR(J32="",E32=0),"",J32/E32-1)</f>
        <v>0.666666666666667</v>
      </c>
      <c r="L32" s="15" t="n">
        <f aca="false">IF(J32="","",(J32/(1+Forudsætninger!$B$3)-G32)/(J32/(1+Forudsætninger!$B$3)))</f>
        <v>0.4506875</v>
      </c>
      <c r="M32" s="11" t="s">
        <v>150</v>
      </c>
      <c r="N32" s="11"/>
    </row>
    <row r="33" customFormat="false" ht="15" hidden="false" customHeight="false" outlineLevel="0" collapsed="false">
      <c r="A33" s="11" t="s">
        <v>32</v>
      </c>
      <c r="B33" s="11" t="s">
        <v>46</v>
      </c>
      <c r="C33" s="11" t="s">
        <v>151</v>
      </c>
      <c r="D33" s="11" t="s">
        <v>152</v>
      </c>
      <c r="E33" s="12" t="n">
        <v>137</v>
      </c>
      <c r="F33" s="13" t="n">
        <f aca="false">E33/(1+Forudsætninger!$B$3)</f>
        <v>109.6</v>
      </c>
      <c r="G33" s="14" t="n">
        <v>100.1</v>
      </c>
      <c r="H33" s="15" t="n">
        <f aca="false">IF(OR(G33="",F33=0),"",(F33-G33)/F33)</f>
        <v>0.0866788321167883</v>
      </c>
      <c r="I33" s="11" t="str">
        <f aca="false">IF(G33="","UKENDT",IF(OR(E33=0,H33&lt;0),"KRITISK",IF(H33&lt;0.2,"HØJ",IF(H33&lt;0.35,"MIDDEL","OK"))))</f>
        <v>HØJ</v>
      </c>
      <c r="J33" s="12" t="n">
        <f aca="false">IF(G33="","",MAX(E33,CEILING(G33/(1-Forudsætninger!$B$4)*(1+Forudsætninger!$B$3),IF(G33/(1-Forudsætninger!$B$4)*(1+Forudsætninger!$B$3)&lt;50,1,IF(G33/(1-Forudsætninger!$B$4)*(1+Forudsætninger!$B$3)&lt;200,5,10)))))</f>
        <v>230</v>
      </c>
      <c r="K33" s="15" t="n">
        <f aca="false">IF(OR(J33="",E33=0),"",J33/E33-1)</f>
        <v>0.678832116788321</v>
      </c>
      <c r="L33" s="15" t="n">
        <f aca="false">IF(J33="","",(J33/(1+Forudsætninger!$B$3)-G33)/(J33/(1+Forudsætninger!$B$3)))</f>
        <v>0.455978260869565</v>
      </c>
      <c r="M33" s="11" t="s">
        <v>153</v>
      </c>
      <c r="N33" s="11"/>
    </row>
    <row r="34" customFormat="false" ht="15" hidden="false" customHeight="false" outlineLevel="0" collapsed="false">
      <c r="A34" s="11" t="s">
        <v>28</v>
      </c>
      <c r="B34" s="11" t="s">
        <v>154</v>
      </c>
      <c r="C34" s="11" t="s">
        <v>155</v>
      </c>
      <c r="D34" s="11" t="s">
        <v>156</v>
      </c>
      <c r="E34" s="12" t="n">
        <v>36</v>
      </c>
      <c r="F34" s="13" t="n">
        <f aca="false">E34/(1+Forudsætninger!$B$3)</f>
        <v>28.8</v>
      </c>
      <c r="G34" s="14" t="n">
        <v>26.29</v>
      </c>
      <c r="H34" s="15" t="n">
        <f aca="false">IF(OR(G34="",F34=0),"",(F34-G34)/F34)</f>
        <v>0.0871527777777778</v>
      </c>
      <c r="I34" s="11" t="str">
        <f aca="false">IF(G34="","UKENDT",IF(OR(E34=0,H34&lt;0),"KRITISK",IF(H34&lt;0.2,"HØJ",IF(H34&lt;0.35,"MIDDEL","OK"))))</f>
        <v>HØJ</v>
      </c>
      <c r="J34" s="12" t="n">
        <f aca="false">IF(G34="","",MAX(E34,CEILING(G34/(1-Forudsætninger!$B$4)*(1+Forudsætninger!$B$3),IF(G34/(1-Forudsætninger!$B$4)*(1+Forudsætninger!$B$3)&lt;50,1,IF(G34/(1-Forudsætninger!$B$4)*(1+Forudsætninger!$B$3)&lt;200,5,10)))))</f>
        <v>60</v>
      </c>
      <c r="K34" s="15" t="n">
        <f aca="false">IF(OR(J34="",E34=0),"",J34/E34-1)</f>
        <v>0.666666666666667</v>
      </c>
      <c r="L34" s="15" t="n">
        <f aca="false">IF(J34="","",(J34/(1+Forudsætninger!$B$3)-G34)/(J34/(1+Forudsætninger!$B$3)))</f>
        <v>0.452291666666667</v>
      </c>
      <c r="M34" s="11" t="s">
        <v>157</v>
      </c>
      <c r="N34" s="11"/>
    </row>
    <row r="35" customFormat="false" ht="15" hidden="false" customHeight="false" outlineLevel="0" collapsed="false">
      <c r="A35" s="11" t="s">
        <v>29</v>
      </c>
      <c r="B35" s="11" t="s">
        <v>88</v>
      </c>
      <c r="C35" s="11" t="s">
        <v>158</v>
      </c>
      <c r="D35" s="11" t="s">
        <v>159</v>
      </c>
      <c r="E35" s="12" t="n">
        <v>77</v>
      </c>
      <c r="F35" s="13" t="n">
        <f aca="false">E35/(1+Forudsætninger!$B$3)</f>
        <v>61.6</v>
      </c>
      <c r="G35" s="14" t="n">
        <v>56.1</v>
      </c>
      <c r="H35" s="15" t="n">
        <f aca="false">IF(OR(G35="",F35=0),"",(F35-G35)/F35)</f>
        <v>0.0892857142857143</v>
      </c>
      <c r="I35" s="11" t="str">
        <f aca="false">IF(G35="","UKENDT",IF(OR(E35=0,H35&lt;0),"KRITISK",IF(H35&lt;0.2,"HØJ",IF(H35&lt;0.35,"MIDDEL","OK"))))</f>
        <v>HØJ</v>
      </c>
      <c r="J35" s="12" t="n">
        <f aca="false">IF(G35="","",MAX(E35,CEILING(G35/(1-Forudsætninger!$B$4)*(1+Forudsætninger!$B$3),IF(G35/(1-Forudsætninger!$B$4)*(1+Forudsætninger!$B$3)&lt;50,1,IF(G35/(1-Forudsætninger!$B$4)*(1+Forudsætninger!$B$3)&lt;200,5,10)))))</f>
        <v>130</v>
      </c>
      <c r="K35" s="15" t="n">
        <f aca="false">IF(OR(J35="",E35=0),"",J35/E35-1)</f>
        <v>0.688311688311688</v>
      </c>
      <c r="L35" s="15" t="n">
        <f aca="false">IF(J35="","",(J35/(1+Forudsætninger!$B$3)-G35)/(J35/(1+Forudsætninger!$B$3)))</f>
        <v>0.460576923076923</v>
      </c>
      <c r="M35" s="11" t="s">
        <v>160</v>
      </c>
      <c r="N35" s="11"/>
    </row>
    <row r="36" customFormat="false" ht="15" hidden="false" customHeight="false" outlineLevel="0" collapsed="false">
      <c r="A36" s="11" t="s">
        <v>33</v>
      </c>
      <c r="B36" s="11" t="s">
        <v>161</v>
      </c>
      <c r="C36" s="11" t="s">
        <v>162</v>
      </c>
      <c r="D36" s="11" t="s">
        <v>163</v>
      </c>
      <c r="E36" s="12" t="n">
        <v>602</v>
      </c>
      <c r="F36" s="13" t="n">
        <f aca="false">E36/(1+Forudsætninger!$B$3)</f>
        <v>481.6</v>
      </c>
      <c r="G36" s="14" t="n">
        <v>437.8</v>
      </c>
      <c r="H36" s="15" t="n">
        <f aca="false">IF(OR(G36="",F36=0),"",(F36-G36)/F36)</f>
        <v>0.0909468438538206</v>
      </c>
      <c r="I36" s="11" t="str">
        <f aca="false">IF(G36="","UKENDT",IF(OR(E36=0,H36&lt;0),"KRITISK",IF(H36&lt;0.2,"HØJ",IF(H36&lt;0.35,"MIDDEL","OK"))))</f>
        <v>HØJ</v>
      </c>
      <c r="J36" s="12" t="n">
        <f aca="false">IF(G36="","",MAX(E36,CEILING(G36/(1-Forudsætninger!$B$4)*(1+Forudsætninger!$B$3),IF(G36/(1-Forudsætninger!$B$4)*(1+Forudsætninger!$B$3)&lt;50,1,IF(G36/(1-Forudsætninger!$B$4)*(1+Forudsætninger!$B$3)&lt;200,5,10)))))</f>
        <v>1000</v>
      </c>
      <c r="K36" s="15" t="n">
        <f aca="false">IF(OR(J36="",E36=0),"",J36/E36-1)</f>
        <v>0.661129568106312</v>
      </c>
      <c r="L36" s="15" t="n">
        <f aca="false">IF(J36="","",(J36/(1+Forudsætninger!$B$3)-G36)/(J36/(1+Forudsætninger!$B$3)))</f>
        <v>0.45275</v>
      </c>
      <c r="M36" s="11" t="s">
        <v>164</v>
      </c>
      <c r="N36" s="11"/>
    </row>
    <row r="37" customFormat="false" ht="15" hidden="false" customHeight="false" outlineLevel="0" collapsed="false">
      <c r="A37" s="11" t="s">
        <v>27</v>
      </c>
      <c r="B37" s="11" t="s">
        <v>99</v>
      </c>
      <c r="C37" s="11" t="s">
        <v>165</v>
      </c>
      <c r="D37" s="11" t="s">
        <v>166</v>
      </c>
      <c r="E37" s="12" t="n">
        <v>54</v>
      </c>
      <c r="F37" s="13" t="n">
        <f aca="false">E37/(1+Forudsætninger!$B$3)</f>
        <v>43.2</v>
      </c>
      <c r="G37" s="14" t="n">
        <v>39.27</v>
      </c>
      <c r="H37" s="15" t="n">
        <f aca="false">IF(OR(G37="",F37=0),"",(F37-G37)/F37)</f>
        <v>0.0909722222222222</v>
      </c>
      <c r="I37" s="11" t="str">
        <f aca="false">IF(G37="","UKENDT",IF(OR(E37=0,H37&lt;0),"KRITISK",IF(H37&lt;0.2,"HØJ",IF(H37&lt;0.35,"MIDDEL","OK"))))</f>
        <v>HØJ</v>
      </c>
      <c r="J37" s="12" t="n">
        <f aca="false">IF(G37="","",MAX(E37,CEILING(G37/(1-Forudsætninger!$B$4)*(1+Forudsætninger!$B$3),IF(G37/(1-Forudsætninger!$B$4)*(1+Forudsætninger!$B$3)&lt;50,1,IF(G37/(1-Forudsætninger!$B$4)*(1+Forudsætninger!$B$3)&lt;200,5,10)))))</f>
        <v>90</v>
      </c>
      <c r="K37" s="15" t="n">
        <f aca="false">IF(OR(J37="",E37=0),"",J37/E37-1)</f>
        <v>0.666666666666667</v>
      </c>
      <c r="L37" s="15" t="n">
        <f aca="false">IF(J37="","",(J37/(1+Forudsætninger!$B$3)-G37)/(J37/(1+Forudsætninger!$B$3)))</f>
        <v>0.454583333333333</v>
      </c>
      <c r="M37" s="11" t="s">
        <v>167</v>
      </c>
      <c r="N37" s="11"/>
    </row>
    <row r="38" customFormat="false" ht="15" hidden="false" customHeight="false" outlineLevel="0" collapsed="false">
      <c r="A38" s="11" t="s">
        <v>27</v>
      </c>
      <c r="B38" s="11" t="s">
        <v>99</v>
      </c>
      <c r="C38" s="11" t="s">
        <v>110</v>
      </c>
      <c r="D38" s="11" t="s">
        <v>168</v>
      </c>
      <c r="E38" s="12" t="n">
        <v>85</v>
      </c>
      <c r="F38" s="13" t="n">
        <f aca="false">E38/(1+Forudsætninger!$B$3)</f>
        <v>68</v>
      </c>
      <c r="G38" s="14" t="n">
        <v>61.71</v>
      </c>
      <c r="H38" s="15" t="n">
        <f aca="false">IF(OR(G38="",F38=0),"",(F38-G38)/F38)</f>
        <v>0.0925</v>
      </c>
      <c r="I38" s="11" t="str">
        <f aca="false">IF(G38="","UKENDT",IF(OR(E38=0,H38&lt;0),"KRITISK",IF(H38&lt;0.2,"HØJ",IF(H38&lt;0.35,"MIDDEL","OK"))))</f>
        <v>HØJ</v>
      </c>
      <c r="J38" s="12" t="n">
        <f aca="false">IF(G38="","",MAX(E38,CEILING(G38/(1-Forudsætninger!$B$4)*(1+Forudsætninger!$B$3),IF(G38/(1-Forudsætninger!$B$4)*(1+Forudsætninger!$B$3)&lt;50,1,IF(G38/(1-Forudsætninger!$B$4)*(1+Forudsætninger!$B$3)&lt;200,5,10)))))</f>
        <v>145</v>
      </c>
      <c r="K38" s="15" t="n">
        <f aca="false">IF(OR(J38="",E38=0),"",J38/E38-1)</f>
        <v>0.705882352941176</v>
      </c>
      <c r="L38" s="15" t="n">
        <f aca="false">IF(J38="","",(J38/(1+Forudsætninger!$B$3)-G38)/(J38/(1+Forudsætninger!$B$3)))</f>
        <v>0.46801724137931</v>
      </c>
      <c r="M38" s="11" t="s">
        <v>169</v>
      </c>
      <c r="N38" s="11"/>
    </row>
    <row r="39" customFormat="false" ht="15" hidden="false" customHeight="false" outlineLevel="0" collapsed="false">
      <c r="A39" s="11" t="s">
        <v>29</v>
      </c>
      <c r="B39" s="11" t="s">
        <v>170</v>
      </c>
      <c r="C39" s="11" t="s">
        <v>89</v>
      </c>
      <c r="D39" s="11" t="s">
        <v>171</v>
      </c>
      <c r="E39" s="12" t="n">
        <v>88</v>
      </c>
      <c r="F39" s="13" t="n">
        <f aca="false">E39/(1+Forudsætninger!$B$3)</f>
        <v>70.4</v>
      </c>
      <c r="G39" s="14" t="n">
        <v>63.8</v>
      </c>
      <c r="H39" s="15" t="n">
        <f aca="false">IF(OR(G39="",F39=0),"",(F39-G39)/F39)</f>
        <v>0.0937500000000001</v>
      </c>
      <c r="I39" s="11" t="str">
        <f aca="false">IF(G39="","UKENDT",IF(OR(E39=0,H39&lt;0),"KRITISK",IF(H39&lt;0.2,"HØJ",IF(H39&lt;0.35,"MIDDEL","OK"))))</f>
        <v>HØJ</v>
      </c>
      <c r="J39" s="12" t="n">
        <f aca="false">IF(G39="","",MAX(E39,CEILING(G39/(1-Forudsætninger!$B$4)*(1+Forudsætninger!$B$3),IF(G39/(1-Forudsætninger!$B$4)*(1+Forudsætninger!$B$3)&lt;50,1,IF(G39/(1-Forudsætninger!$B$4)*(1+Forudsætninger!$B$3)&lt;200,5,10)))))</f>
        <v>145</v>
      </c>
      <c r="K39" s="15" t="n">
        <f aca="false">IF(OR(J39="",E39=0),"",J39/E39-1)</f>
        <v>0.647727272727273</v>
      </c>
      <c r="L39" s="15" t="n">
        <f aca="false">IF(J39="","",(J39/(1+Forudsætninger!$B$3)-G39)/(J39/(1+Forudsætninger!$B$3)))</f>
        <v>0.45</v>
      </c>
      <c r="M39" s="11" t="s">
        <v>172</v>
      </c>
      <c r="N39" s="11"/>
    </row>
    <row r="40" customFormat="false" ht="15" hidden="false" customHeight="false" outlineLevel="0" collapsed="false">
      <c r="A40" s="11" t="s">
        <v>28</v>
      </c>
      <c r="B40" s="11" t="s">
        <v>154</v>
      </c>
      <c r="C40" s="11" t="s">
        <v>173</v>
      </c>
      <c r="D40" s="11" t="s">
        <v>174</v>
      </c>
      <c r="E40" s="12" t="n">
        <v>44</v>
      </c>
      <c r="F40" s="13" t="n">
        <f aca="false">E40/(1+Forudsætninger!$B$3)</f>
        <v>35.2</v>
      </c>
      <c r="G40" s="14" t="n">
        <v>31.9</v>
      </c>
      <c r="H40" s="15" t="n">
        <f aca="false">IF(OR(G40="",F40=0),"",(F40-G40)/F40)</f>
        <v>0.0937500000000001</v>
      </c>
      <c r="I40" s="11" t="str">
        <f aca="false">IF(G40="","UKENDT",IF(OR(E40=0,H40&lt;0),"KRITISK",IF(H40&lt;0.2,"HØJ",IF(H40&lt;0.35,"MIDDEL","OK"))))</f>
        <v>HØJ</v>
      </c>
      <c r="J40" s="12" t="n">
        <f aca="false">IF(G40="","",MAX(E40,CEILING(G40/(1-Forudsætninger!$B$4)*(1+Forudsætninger!$B$3),IF(G40/(1-Forudsætninger!$B$4)*(1+Forudsætninger!$B$3)&lt;50,1,IF(G40/(1-Forudsætninger!$B$4)*(1+Forudsætninger!$B$3)&lt;200,5,10)))))</f>
        <v>75</v>
      </c>
      <c r="K40" s="15" t="n">
        <f aca="false">IF(OR(J40="",E40=0),"",J40/E40-1)</f>
        <v>0.704545454545455</v>
      </c>
      <c r="L40" s="15" t="n">
        <f aca="false">IF(J40="","",(J40/(1+Forudsætninger!$B$3)-G40)/(J40/(1+Forudsætninger!$B$3)))</f>
        <v>0.468333333333333</v>
      </c>
      <c r="M40" s="11" t="s">
        <v>175</v>
      </c>
      <c r="N40" s="11"/>
    </row>
    <row r="41" customFormat="false" ht="15" hidden="false" customHeight="false" outlineLevel="0" collapsed="false">
      <c r="A41" s="11" t="s">
        <v>30</v>
      </c>
      <c r="B41" s="11" t="s">
        <v>176</v>
      </c>
      <c r="C41" s="11" t="s">
        <v>177</v>
      </c>
      <c r="D41" s="11" t="s">
        <v>178</v>
      </c>
      <c r="E41" s="12" t="n">
        <v>44</v>
      </c>
      <c r="F41" s="13" t="n">
        <f aca="false">E41/(1+Forudsætninger!$B$3)</f>
        <v>35.2</v>
      </c>
      <c r="G41" s="14" t="n">
        <v>31.9</v>
      </c>
      <c r="H41" s="15" t="n">
        <f aca="false">IF(OR(G41="",F41=0),"",(F41-G41)/F41)</f>
        <v>0.0937500000000001</v>
      </c>
      <c r="I41" s="11" t="str">
        <f aca="false">IF(G41="","UKENDT",IF(OR(E41=0,H41&lt;0),"KRITISK",IF(H41&lt;0.2,"HØJ",IF(H41&lt;0.35,"MIDDEL","OK"))))</f>
        <v>HØJ</v>
      </c>
      <c r="J41" s="12" t="n">
        <f aca="false">IF(G41="","",MAX(E41,CEILING(G41/(1-Forudsætninger!$B$4)*(1+Forudsætninger!$B$3),IF(G41/(1-Forudsætninger!$B$4)*(1+Forudsætninger!$B$3)&lt;50,1,IF(G41/(1-Forudsætninger!$B$4)*(1+Forudsætninger!$B$3)&lt;200,5,10)))))</f>
        <v>75</v>
      </c>
      <c r="K41" s="15" t="n">
        <f aca="false">IF(OR(J41="",E41=0),"",J41/E41-1)</f>
        <v>0.704545454545455</v>
      </c>
      <c r="L41" s="15" t="n">
        <f aca="false">IF(J41="","",(J41/(1+Forudsætninger!$B$3)-G41)/(J41/(1+Forudsætninger!$B$3)))</f>
        <v>0.468333333333333</v>
      </c>
      <c r="M41" s="11" t="s">
        <v>179</v>
      </c>
      <c r="N41" s="11" t="s">
        <v>180</v>
      </c>
    </row>
    <row r="42" customFormat="false" ht="15" hidden="false" customHeight="false" outlineLevel="0" collapsed="false">
      <c r="A42" s="11" t="s">
        <v>28</v>
      </c>
      <c r="B42" s="11" t="s">
        <v>181</v>
      </c>
      <c r="C42" s="11" t="s">
        <v>158</v>
      </c>
      <c r="D42" s="11" t="s">
        <v>182</v>
      </c>
      <c r="E42" s="12" t="n">
        <v>41</v>
      </c>
      <c r="F42" s="13" t="n">
        <f aca="false">E42/(1+Forudsætninger!$B$3)</f>
        <v>32.8</v>
      </c>
      <c r="G42" s="14" t="n">
        <v>29.7</v>
      </c>
      <c r="H42" s="15" t="n">
        <f aca="false">IF(OR(G42="",F42=0),"",(F42-G42)/F42)</f>
        <v>0.0945121951219512</v>
      </c>
      <c r="I42" s="11" t="str">
        <f aca="false">IF(G42="","UKENDT",IF(OR(E42=0,H42&lt;0),"KRITISK",IF(H42&lt;0.2,"HØJ",IF(H42&lt;0.35,"MIDDEL","OK"))))</f>
        <v>HØJ</v>
      </c>
      <c r="J42" s="12" t="n">
        <f aca="false">IF(G42="","",MAX(E42,CEILING(G42/(1-Forudsætninger!$B$4)*(1+Forudsætninger!$B$3),IF(G42/(1-Forudsætninger!$B$4)*(1+Forudsætninger!$B$3)&lt;50,1,IF(G42/(1-Forudsætninger!$B$4)*(1+Forudsætninger!$B$3)&lt;200,5,10)))))</f>
        <v>70</v>
      </c>
      <c r="K42" s="15" t="n">
        <f aca="false">IF(OR(J42="",E42=0),"",J42/E42-1)</f>
        <v>0.707317073170732</v>
      </c>
      <c r="L42" s="15" t="n">
        <f aca="false">IF(J42="","",(J42/(1+Forudsætninger!$B$3)-G42)/(J42/(1+Forudsætninger!$B$3)))</f>
        <v>0.469642857142857</v>
      </c>
      <c r="M42" s="11" t="s">
        <v>183</v>
      </c>
      <c r="N42" s="11"/>
    </row>
    <row r="43" customFormat="false" ht="15" hidden="false" customHeight="false" outlineLevel="0" collapsed="false">
      <c r="A43" s="11" t="s">
        <v>28</v>
      </c>
      <c r="B43" s="11" t="s">
        <v>154</v>
      </c>
      <c r="C43" s="11" t="s">
        <v>173</v>
      </c>
      <c r="D43" s="11" t="s">
        <v>184</v>
      </c>
      <c r="E43" s="12" t="n">
        <v>35</v>
      </c>
      <c r="F43" s="13" t="n">
        <f aca="false">E43/(1+Forudsætninger!$B$3)</f>
        <v>28</v>
      </c>
      <c r="G43" s="14" t="n">
        <v>25.3</v>
      </c>
      <c r="H43" s="15" t="n">
        <f aca="false">IF(OR(G43="",F43=0),"",(F43-G43)/F43)</f>
        <v>0.0964285714285714</v>
      </c>
      <c r="I43" s="11" t="str">
        <f aca="false">IF(G43="","UKENDT",IF(OR(E43=0,H43&lt;0),"KRITISK",IF(H43&lt;0.2,"HØJ",IF(H43&lt;0.35,"MIDDEL","OK"))))</f>
        <v>HØJ</v>
      </c>
      <c r="J43" s="12" t="n">
        <f aca="false">IF(G43="","",MAX(E43,CEILING(G43/(1-Forudsætninger!$B$4)*(1+Forudsætninger!$B$3),IF(G43/(1-Forudsætninger!$B$4)*(1+Forudsætninger!$B$3)&lt;50,1,IF(G43/(1-Forudsætninger!$B$4)*(1+Forudsætninger!$B$3)&lt;200,5,10)))))</f>
        <v>60</v>
      </c>
      <c r="K43" s="15" t="n">
        <f aca="false">IF(OR(J43="",E43=0),"",J43/E43-1)</f>
        <v>0.714285714285714</v>
      </c>
      <c r="L43" s="15" t="n">
        <f aca="false">IF(J43="","",(J43/(1+Forudsætninger!$B$3)-G43)/(J43/(1+Forudsætninger!$B$3)))</f>
        <v>0.472916666666667</v>
      </c>
      <c r="M43" s="11" t="s">
        <v>185</v>
      </c>
      <c r="N43" s="11"/>
    </row>
    <row r="44" customFormat="false" ht="15" hidden="false" customHeight="false" outlineLevel="0" collapsed="false">
      <c r="A44" s="11" t="s">
        <v>27</v>
      </c>
      <c r="B44" s="11" t="s">
        <v>99</v>
      </c>
      <c r="C44" s="11" t="s">
        <v>186</v>
      </c>
      <c r="D44" s="11" t="s">
        <v>187</v>
      </c>
      <c r="E44" s="12" t="n">
        <v>70</v>
      </c>
      <c r="F44" s="13" t="n">
        <f aca="false">E44/(1+Forudsætninger!$B$3)</f>
        <v>56</v>
      </c>
      <c r="G44" s="14" t="n">
        <v>50.49</v>
      </c>
      <c r="H44" s="15" t="n">
        <f aca="false">IF(OR(G44="",F44=0),"",(F44-G44)/F44)</f>
        <v>0.0983928571428571</v>
      </c>
      <c r="I44" s="11" t="str">
        <f aca="false">IF(G44="","UKENDT",IF(OR(E44=0,H44&lt;0),"KRITISK",IF(H44&lt;0.2,"HØJ",IF(H44&lt;0.35,"MIDDEL","OK"))))</f>
        <v>HØJ</v>
      </c>
      <c r="J44" s="12" t="n">
        <f aca="false">IF(G44="","",MAX(E44,CEILING(G44/(1-Forudsætninger!$B$4)*(1+Forudsætninger!$B$3),IF(G44/(1-Forudsætninger!$B$4)*(1+Forudsætninger!$B$3)&lt;50,1,IF(G44/(1-Forudsætninger!$B$4)*(1+Forudsætninger!$B$3)&lt;200,5,10)))))</f>
        <v>115</v>
      </c>
      <c r="K44" s="15" t="n">
        <f aca="false">IF(OR(J44="",E44=0),"",J44/E44-1)</f>
        <v>0.642857142857143</v>
      </c>
      <c r="L44" s="15" t="n">
        <f aca="false">IF(J44="","",(J44/(1+Forudsætninger!$B$3)-G44)/(J44/(1+Forudsætninger!$B$3)))</f>
        <v>0.451195652173913</v>
      </c>
      <c r="M44" s="11" t="s">
        <v>188</v>
      </c>
      <c r="N44" s="11"/>
    </row>
    <row r="45" customFormat="false" ht="15" hidden="false" customHeight="false" outlineLevel="0" collapsed="false">
      <c r="A45" s="11" t="s">
        <v>27</v>
      </c>
      <c r="B45" s="11" t="s">
        <v>99</v>
      </c>
      <c r="C45" s="11" t="s">
        <v>189</v>
      </c>
      <c r="D45" s="11" t="s">
        <v>190</v>
      </c>
      <c r="E45" s="12" t="n">
        <v>42</v>
      </c>
      <c r="F45" s="13" t="n">
        <f aca="false">E45/(1+Forudsætninger!$B$3)</f>
        <v>33.6</v>
      </c>
      <c r="G45" s="14" t="n">
        <v>30.294</v>
      </c>
      <c r="H45" s="15" t="n">
        <f aca="false">IF(OR(G45="",F45=0),"",(F45-G45)/F45)</f>
        <v>0.0983928571428572</v>
      </c>
      <c r="I45" s="11" t="str">
        <f aca="false">IF(G45="","UKENDT",IF(OR(E45=0,H45&lt;0),"KRITISK",IF(H45&lt;0.2,"HØJ",IF(H45&lt;0.35,"MIDDEL","OK"))))</f>
        <v>HØJ</v>
      </c>
      <c r="J45" s="12" t="n">
        <f aca="false">IF(G45="","",MAX(E45,CEILING(G45/(1-Forudsætninger!$B$4)*(1+Forudsætninger!$B$3),IF(G45/(1-Forudsætninger!$B$4)*(1+Forudsætninger!$B$3)&lt;50,1,IF(G45/(1-Forudsætninger!$B$4)*(1+Forudsætninger!$B$3)&lt;200,5,10)))))</f>
        <v>70</v>
      </c>
      <c r="K45" s="15" t="n">
        <f aca="false">IF(OR(J45="",E45=0),"",J45/E45-1)</f>
        <v>0.666666666666667</v>
      </c>
      <c r="L45" s="15" t="n">
        <f aca="false">IF(J45="","",(J45/(1+Forudsætninger!$B$3)-G45)/(J45/(1+Forudsætninger!$B$3)))</f>
        <v>0.459035714285714</v>
      </c>
      <c r="M45" s="11" t="s">
        <v>191</v>
      </c>
      <c r="N45" s="11"/>
    </row>
    <row r="46" customFormat="false" ht="15" hidden="false" customHeight="false" outlineLevel="0" collapsed="false">
      <c r="A46" s="11" t="s">
        <v>24</v>
      </c>
      <c r="B46" s="11" t="s">
        <v>144</v>
      </c>
      <c r="C46" s="11" t="s">
        <v>192</v>
      </c>
      <c r="D46" s="11" t="s">
        <v>193</v>
      </c>
      <c r="E46" s="12" t="n">
        <v>29</v>
      </c>
      <c r="F46" s="13" t="n">
        <f aca="false">E46/(1+Forudsætninger!$B$3)</f>
        <v>23.2</v>
      </c>
      <c r="G46" s="14" t="n">
        <v>20.9</v>
      </c>
      <c r="H46" s="15" t="n">
        <f aca="false">IF(OR(G46="",F46=0),"",(F46-G46)/F46)</f>
        <v>0.0991379310344828</v>
      </c>
      <c r="I46" s="11" t="str">
        <f aca="false">IF(G46="","UKENDT",IF(OR(E46=0,H46&lt;0),"KRITISK",IF(H46&lt;0.2,"HØJ",IF(H46&lt;0.35,"MIDDEL","OK"))))</f>
        <v>HØJ</v>
      </c>
      <c r="J46" s="12" t="n">
        <f aca="false">IF(G46="","",MAX(E46,CEILING(G46/(1-Forudsætninger!$B$4)*(1+Forudsætninger!$B$3),IF(G46/(1-Forudsætninger!$B$4)*(1+Forudsætninger!$B$3)&lt;50,1,IF(G46/(1-Forudsætninger!$B$4)*(1+Forudsætninger!$B$3)&lt;200,5,10)))))</f>
        <v>48</v>
      </c>
      <c r="K46" s="15" t="n">
        <f aca="false">IF(OR(J46="",E46=0),"",J46/E46-1)</f>
        <v>0.655172413793103</v>
      </c>
      <c r="L46" s="15" t="n">
        <f aca="false">IF(J46="","",(J46/(1+Forudsætninger!$B$3)-G46)/(J46/(1+Forudsætninger!$B$3)))</f>
        <v>0.455729166666667</v>
      </c>
      <c r="M46" s="11" t="s">
        <v>194</v>
      </c>
      <c r="N46" s="11"/>
    </row>
    <row r="47" customFormat="false" ht="15" hidden="false" customHeight="false" outlineLevel="0" collapsed="false">
      <c r="A47" s="11" t="s">
        <v>29</v>
      </c>
      <c r="B47" s="11" t="s">
        <v>170</v>
      </c>
      <c r="C47" s="11" t="s">
        <v>173</v>
      </c>
      <c r="D47" s="11" t="s">
        <v>195</v>
      </c>
      <c r="E47" s="12" t="n">
        <v>22</v>
      </c>
      <c r="F47" s="13" t="n">
        <f aca="false">E47/(1+Forudsætninger!$B$3)</f>
        <v>17.6</v>
      </c>
      <c r="G47" s="14" t="n">
        <v>15.774</v>
      </c>
      <c r="H47" s="15" t="n">
        <f aca="false">IF(OR(G47="",F47=0),"",(F47-G47)/F47)</f>
        <v>0.10375</v>
      </c>
      <c r="I47" s="11" t="str">
        <f aca="false">IF(G47="","UKENDT",IF(OR(E47=0,H47&lt;0),"KRITISK",IF(H47&lt;0.2,"HØJ",IF(H47&lt;0.35,"MIDDEL","OK"))))</f>
        <v>HØJ</v>
      </c>
      <c r="J47" s="12" t="n">
        <f aca="false">IF(G47="","",MAX(E47,CEILING(G47/(1-Forudsætninger!$B$4)*(1+Forudsætninger!$B$3),IF(G47/(1-Forudsætninger!$B$4)*(1+Forudsætninger!$B$3)&lt;50,1,IF(G47/(1-Forudsætninger!$B$4)*(1+Forudsætninger!$B$3)&lt;200,5,10)))))</f>
        <v>36</v>
      </c>
      <c r="K47" s="15" t="n">
        <f aca="false">IF(OR(J47="",E47=0),"",J47/E47-1)</f>
        <v>0.636363636363637</v>
      </c>
      <c r="L47" s="15" t="n">
        <f aca="false">IF(J47="","",(J47/(1+Forudsætninger!$B$3)-G47)/(J47/(1+Forudsætninger!$B$3)))</f>
        <v>0.452291666666667</v>
      </c>
      <c r="M47" s="11" t="s">
        <v>196</v>
      </c>
      <c r="N47" s="11" t="s">
        <v>197</v>
      </c>
    </row>
    <row r="48" customFormat="false" ht="15" hidden="false" customHeight="false" outlineLevel="0" collapsed="false">
      <c r="A48" s="11" t="s">
        <v>31</v>
      </c>
      <c r="B48" s="11" t="s">
        <v>198</v>
      </c>
      <c r="C48" s="11" t="s">
        <v>199</v>
      </c>
      <c r="D48" s="11" t="s">
        <v>200</v>
      </c>
      <c r="E48" s="12" t="n">
        <v>60</v>
      </c>
      <c r="F48" s="13" t="n">
        <f aca="false">E48/(1+Forudsætninger!$B$3)</f>
        <v>48</v>
      </c>
      <c r="G48" s="14" t="n">
        <v>42.9</v>
      </c>
      <c r="H48" s="15" t="n">
        <f aca="false">IF(OR(G48="",F48=0),"",(F48-G48)/F48)</f>
        <v>0.10625</v>
      </c>
      <c r="I48" s="11" t="str">
        <f aca="false">IF(G48="","UKENDT",IF(OR(E48=0,H48&lt;0),"KRITISK",IF(H48&lt;0.2,"HØJ",IF(H48&lt;0.35,"MIDDEL","OK"))))</f>
        <v>HØJ</v>
      </c>
      <c r="J48" s="12" t="n">
        <f aca="false">IF(G48="","",MAX(E48,CEILING(G48/(1-Forudsætninger!$B$4)*(1+Forudsætninger!$B$3),IF(G48/(1-Forudsætninger!$B$4)*(1+Forudsætninger!$B$3)&lt;50,1,IF(G48/(1-Forudsætninger!$B$4)*(1+Forudsætninger!$B$3)&lt;200,5,10)))))</f>
        <v>100</v>
      </c>
      <c r="K48" s="15" t="n">
        <f aca="false">IF(OR(J48="",E48=0),"",J48/E48-1)</f>
        <v>0.666666666666667</v>
      </c>
      <c r="L48" s="15" t="n">
        <f aca="false">IF(J48="","",(J48/(1+Forudsætninger!$B$3)-G48)/(J48/(1+Forudsætninger!$B$3)))</f>
        <v>0.46375</v>
      </c>
      <c r="M48" s="11" t="s">
        <v>201</v>
      </c>
      <c r="N48" s="11"/>
    </row>
    <row r="49" customFormat="false" ht="15" hidden="false" customHeight="false" outlineLevel="0" collapsed="false">
      <c r="A49" s="11" t="s">
        <v>24</v>
      </c>
      <c r="B49" s="11" t="s">
        <v>202</v>
      </c>
      <c r="C49" s="11" t="s">
        <v>192</v>
      </c>
      <c r="D49" s="11" t="s">
        <v>203</v>
      </c>
      <c r="E49" s="12" t="n">
        <v>71</v>
      </c>
      <c r="F49" s="13" t="n">
        <f aca="false">E49/(1+Forudsætninger!$B$3)</f>
        <v>56.8</v>
      </c>
      <c r="G49" s="14" t="n">
        <v>50.6</v>
      </c>
      <c r="H49" s="15" t="n">
        <f aca="false">IF(OR(G49="",F49=0),"",(F49-G49)/F49)</f>
        <v>0.109154929577465</v>
      </c>
      <c r="I49" s="11" t="str">
        <f aca="false">IF(G49="","UKENDT",IF(OR(E49=0,H49&lt;0),"KRITISK",IF(H49&lt;0.2,"HØJ",IF(H49&lt;0.35,"MIDDEL","OK"))))</f>
        <v>HØJ</v>
      </c>
      <c r="J49" s="12" t="n">
        <f aca="false">IF(G49="","",MAX(E49,CEILING(G49/(1-Forudsætninger!$B$4)*(1+Forudsætninger!$B$3),IF(G49/(1-Forudsætninger!$B$4)*(1+Forudsætninger!$B$3)&lt;50,1,IF(G49/(1-Forudsætninger!$B$4)*(1+Forudsætninger!$B$3)&lt;200,5,10)))))</f>
        <v>115</v>
      </c>
      <c r="K49" s="15" t="n">
        <f aca="false">IF(OR(J49="",E49=0),"",J49/E49-1)</f>
        <v>0.619718309859155</v>
      </c>
      <c r="L49" s="15" t="n">
        <f aca="false">IF(J49="","",(J49/(1+Forudsætninger!$B$3)-G49)/(J49/(1+Forudsætninger!$B$3)))</f>
        <v>0.45</v>
      </c>
      <c r="M49" s="11" t="s">
        <v>204</v>
      </c>
      <c r="N49" s="11"/>
    </row>
    <row r="50" customFormat="false" ht="15" hidden="false" customHeight="false" outlineLevel="0" collapsed="false">
      <c r="A50" s="11" t="s">
        <v>27</v>
      </c>
      <c r="B50" s="11" t="s">
        <v>109</v>
      </c>
      <c r="C50" s="11" t="s">
        <v>186</v>
      </c>
      <c r="D50" s="11" t="s">
        <v>205</v>
      </c>
      <c r="E50" s="12" t="n">
        <v>90</v>
      </c>
      <c r="F50" s="13" t="n">
        <f aca="false">E50/(1+Forudsætninger!$B$3)</f>
        <v>72</v>
      </c>
      <c r="G50" s="14" t="n">
        <v>63.8</v>
      </c>
      <c r="H50" s="15" t="n">
        <f aca="false">IF(OR(G50="",F50=0),"",(F50-G50)/F50)</f>
        <v>0.113888888888889</v>
      </c>
      <c r="I50" s="11" t="str">
        <f aca="false">IF(G50="","UKENDT",IF(OR(E50=0,H50&lt;0),"KRITISK",IF(H50&lt;0.2,"HØJ",IF(H50&lt;0.35,"MIDDEL","OK"))))</f>
        <v>HØJ</v>
      </c>
      <c r="J50" s="12" t="n">
        <f aca="false">IF(G50="","",MAX(E50,CEILING(G50/(1-Forudsætninger!$B$4)*(1+Forudsætninger!$B$3),IF(G50/(1-Forudsætninger!$B$4)*(1+Forudsætninger!$B$3)&lt;50,1,IF(G50/(1-Forudsætninger!$B$4)*(1+Forudsætninger!$B$3)&lt;200,5,10)))))</f>
        <v>145</v>
      </c>
      <c r="K50" s="15" t="n">
        <f aca="false">IF(OR(J50="",E50=0),"",J50/E50-1)</f>
        <v>0.611111111111111</v>
      </c>
      <c r="L50" s="15" t="n">
        <f aca="false">IF(J50="","",(J50/(1+Forudsætninger!$B$3)-G50)/(J50/(1+Forudsætninger!$B$3)))</f>
        <v>0.45</v>
      </c>
      <c r="M50" s="11" t="s">
        <v>206</v>
      </c>
      <c r="N50" s="11"/>
    </row>
    <row r="51" customFormat="false" ht="15" hidden="false" customHeight="false" outlineLevel="0" collapsed="false">
      <c r="A51" s="11" t="s">
        <v>32</v>
      </c>
      <c r="B51" s="11" t="s">
        <v>65</v>
      </c>
      <c r="C51" s="11" t="s">
        <v>151</v>
      </c>
      <c r="D51" s="11" t="s">
        <v>207</v>
      </c>
      <c r="E51" s="12" t="n">
        <v>75</v>
      </c>
      <c r="F51" s="13" t="n">
        <f aca="false">E51/(1+Forudsætninger!$B$3)</f>
        <v>60</v>
      </c>
      <c r="G51" s="14" t="n">
        <v>52.8</v>
      </c>
      <c r="H51" s="15" t="n">
        <f aca="false">IF(OR(G51="",F51=0),"",(F51-G51)/F51)</f>
        <v>0.12</v>
      </c>
      <c r="I51" s="11" t="str">
        <f aca="false">IF(G51="","UKENDT",IF(OR(E51=0,H51&lt;0),"KRITISK",IF(H51&lt;0.2,"HØJ",IF(H51&lt;0.35,"MIDDEL","OK"))))</f>
        <v>HØJ</v>
      </c>
      <c r="J51" s="12" t="n">
        <f aca="false">IF(G51="","",MAX(E51,CEILING(G51/(1-Forudsætninger!$B$4)*(1+Forudsætninger!$B$3),IF(G51/(1-Forudsætninger!$B$4)*(1+Forudsætninger!$B$3)&lt;50,1,IF(G51/(1-Forudsætninger!$B$4)*(1+Forudsætninger!$B$3)&lt;200,5,10)))))</f>
        <v>120</v>
      </c>
      <c r="K51" s="15" t="n">
        <f aca="false">IF(OR(J51="",E51=0),"",J51/E51-1)</f>
        <v>0.6</v>
      </c>
      <c r="L51" s="15" t="n">
        <f aca="false">IF(J51="","",(J51/(1+Forudsætninger!$B$3)-G51)/(J51/(1+Forudsætninger!$B$3)))</f>
        <v>0.45</v>
      </c>
      <c r="M51" s="11" t="s">
        <v>208</v>
      </c>
      <c r="N51" s="11"/>
    </row>
    <row r="52" customFormat="false" ht="15" hidden="false" customHeight="false" outlineLevel="0" collapsed="false">
      <c r="A52" s="11" t="s">
        <v>28</v>
      </c>
      <c r="B52" s="11" t="s">
        <v>181</v>
      </c>
      <c r="C52" s="11" t="s">
        <v>209</v>
      </c>
      <c r="D52" s="11" t="s">
        <v>210</v>
      </c>
      <c r="E52" s="12" t="n">
        <v>50</v>
      </c>
      <c r="F52" s="13" t="n">
        <f aca="false">E52/(1+Forudsætninger!$B$3)</f>
        <v>40</v>
      </c>
      <c r="G52" s="14" t="n">
        <v>34.65</v>
      </c>
      <c r="H52" s="15" t="n">
        <f aca="false">IF(OR(G52="",F52=0),"",(F52-G52)/F52)</f>
        <v>0.13375</v>
      </c>
      <c r="I52" s="11" t="str">
        <f aca="false">IF(G52="","UKENDT",IF(OR(E52=0,H52&lt;0),"KRITISK",IF(H52&lt;0.2,"HØJ",IF(H52&lt;0.35,"MIDDEL","OK"))))</f>
        <v>HØJ</v>
      </c>
      <c r="J52" s="12" t="n">
        <f aca="false">IF(G52="","",MAX(E52,CEILING(G52/(1-Forudsætninger!$B$4)*(1+Forudsætninger!$B$3),IF(G52/(1-Forudsætninger!$B$4)*(1+Forudsætninger!$B$3)&lt;50,1,IF(G52/(1-Forudsætninger!$B$4)*(1+Forudsætninger!$B$3)&lt;200,5,10)))))</f>
        <v>80</v>
      </c>
      <c r="K52" s="15" t="n">
        <f aca="false">IF(OR(J52="",E52=0),"",J52/E52-1)</f>
        <v>0.6</v>
      </c>
      <c r="L52" s="15" t="n">
        <f aca="false">IF(J52="","",(J52/(1+Forudsætninger!$B$3)-G52)/(J52/(1+Forudsætninger!$B$3)))</f>
        <v>0.45859375</v>
      </c>
      <c r="M52" s="11" t="s">
        <v>211</v>
      </c>
      <c r="N52" s="11"/>
    </row>
    <row r="53" customFormat="false" ht="15" hidden="false" customHeight="false" outlineLevel="0" collapsed="false">
      <c r="A53" s="11" t="s">
        <v>32</v>
      </c>
      <c r="B53" s="11" t="s">
        <v>212</v>
      </c>
      <c r="C53" s="11" t="s">
        <v>62</v>
      </c>
      <c r="D53" s="11" t="s">
        <v>213</v>
      </c>
      <c r="E53" s="12" t="n">
        <v>27</v>
      </c>
      <c r="F53" s="13" t="n">
        <f aca="false">E53/(1+Forudsætninger!$B$3)</f>
        <v>21.6</v>
      </c>
      <c r="G53" s="14" t="n">
        <v>18.7</v>
      </c>
      <c r="H53" s="15" t="n">
        <f aca="false">IF(OR(G53="",F53=0),"",(F53-G53)/F53)</f>
        <v>0.134259259259259</v>
      </c>
      <c r="I53" s="11" t="str">
        <f aca="false">IF(G53="","UKENDT",IF(OR(E53=0,H53&lt;0),"KRITISK",IF(H53&lt;0.2,"HØJ",IF(H53&lt;0.35,"MIDDEL","OK"))))</f>
        <v>HØJ</v>
      </c>
      <c r="J53" s="12" t="n">
        <f aca="false">IF(G53="","",MAX(E53,CEILING(G53/(1-Forudsætninger!$B$4)*(1+Forudsætninger!$B$3),IF(G53/(1-Forudsætninger!$B$4)*(1+Forudsætninger!$B$3)&lt;50,1,IF(G53/(1-Forudsætninger!$B$4)*(1+Forudsætninger!$B$3)&lt;200,5,10)))))</f>
        <v>43</v>
      </c>
      <c r="K53" s="15" t="n">
        <f aca="false">IF(OR(J53="",E53=0),"",J53/E53-1)</f>
        <v>0.592592592592593</v>
      </c>
      <c r="L53" s="15" t="n">
        <f aca="false">IF(J53="","",(J53/(1+Forudsætninger!$B$3)-G53)/(J53/(1+Forudsætninger!$B$3)))</f>
        <v>0.456395348837209</v>
      </c>
      <c r="M53" s="11" t="s">
        <v>214</v>
      </c>
      <c r="N53" s="11"/>
    </row>
    <row r="54" customFormat="false" ht="15" hidden="false" customHeight="false" outlineLevel="0" collapsed="false">
      <c r="A54" s="11" t="s">
        <v>29</v>
      </c>
      <c r="B54" s="11" t="s">
        <v>215</v>
      </c>
      <c r="C54" s="11" t="s">
        <v>216</v>
      </c>
      <c r="D54" s="11" t="s">
        <v>217</v>
      </c>
      <c r="E54" s="12" t="n">
        <v>32</v>
      </c>
      <c r="F54" s="13" t="n">
        <f aca="false">E54/(1+Forudsætninger!$B$3)</f>
        <v>25.6</v>
      </c>
      <c r="G54" s="14" t="n">
        <v>21.956</v>
      </c>
      <c r="H54" s="15" t="n">
        <f aca="false">IF(OR(G54="",F54=0),"",(F54-G54)/F54)</f>
        <v>0.14234375</v>
      </c>
      <c r="I54" s="11" t="str">
        <f aca="false">IF(G54="","UKENDT",IF(OR(E54=0,H54&lt;0),"KRITISK",IF(H54&lt;0.2,"HØJ",IF(H54&lt;0.35,"MIDDEL","OK"))))</f>
        <v>HØJ</v>
      </c>
      <c r="J54" s="12" t="n">
        <f aca="false">IF(G54="","",MAX(E54,CEILING(G54/(1-Forudsætninger!$B$4)*(1+Forudsætninger!$B$3),IF(G54/(1-Forudsætninger!$B$4)*(1+Forudsætninger!$B$3)&lt;50,1,IF(G54/(1-Forudsætninger!$B$4)*(1+Forudsætninger!$B$3)&lt;200,5,10)))))</f>
        <v>50</v>
      </c>
      <c r="K54" s="15" t="n">
        <f aca="false">IF(OR(J54="",E54=0),"",J54/E54-1)</f>
        <v>0.5625</v>
      </c>
      <c r="L54" s="15" t="n">
        <f aca="false">IF(J54="","",(J54/(1+Forudsætninger!$B$3)-G54)/(J54/(1+Forudsætninger!$B$3)))</f>
        <v>0.4511</v>
      </c>
      <c r="M54" s="11" t="s">
        <v>218</v>
      </c>
      <c r="N54" s="11"/>
    </row>
    <row r="55" customFormat="false" ht="15" hidden="false" customHeight="false" outlineLevel="0" collapsed="false">
      <c r="A55" s="11" t="s">
        <v>32</v>
      </c>
      <c r="B55" s="11" t="s">
        <v>75</v>
      </c>
      <c r="C55" s="11" t="s">
        <v>151</v>
      </c>
      <c r="D55" s="11" t="s">
        <v>219</v>
      </c>
      <c r="E55" s="12" t="n">
        <v>90</v>
      </c>
      <c r="F55" s="13" t="n">
        <f aca="false">E55/(1+Forudsætninger!$B$3)</f>
        <v>72</v>
      </c>
      <c r="G55" s="14" t="n">
        <v>61.6</v>
      </c>
      <c r="H55" s="15" t="n">
        <f aca="false">IF(OR(G55="",F55=0),"",(F55-G55)/F55)</f>
        <v>0.144444444444444</v>
      </c>
      <c r="I55" s="11" t="str">
        <f aca="false">IF(G55="","UKENDT",IF(OR(E55=0,H55&lt;0),"KRITISK",IF(H55&lt;0.2,"HØJ",IF(H55&lt;0.35,"MIDDEL","OK"))))</f>
        <v>HØJ</v>
      </c>
      <c r="J55" s="12" t="n">
        <f aca="false">IF(G55="","",MAX(E55,CEILING(G55/(1-Forudsætninger!$B$4)*(1+Forudsætninger!$B$3),IF(G55/(1-Forudsætninger!$B$4)*(1+Forudsætninger!$B$3)&lt;50,1,IF(G55/(1-Forudsætninger!$B$4)*(1+Forudsætninger!$B$3)&lt;200,5,10)))))</f>
        <v>140</v>
      </c>
      <c r="K55" s="15" t="n">
        <f aca="false">IF(OR(J55="",E55=0),"",J55/E55-1)</f>
        <v>0.555555555555556</v>
      </c>
      <c r="L55" s="15" t="n">
        <f aca="false">IF(J55="","",(J55/(1+Forudsætninger!$B$3)-G55)/(J55/(1+Forudsætninger!$B$3)))</f>
        <v>0.45</v>
      </c>
      <c r="M55" s="11" t="s">
        <v>220</v>
      </c>
      <c r="N55" s="11"/>
    </row>
    <row r="56" customFormat="false" ht="15" hidden="false" customHeight="false" outlineLevel="0" collapsed="false">
      <c r="A56" s="11" t="s">
        <v>24</v>
      </c>
      <c r="B56" s="11" t="s">
        <v>144</v>
      </c>
      <c r="C56" s="11" t="s">
        <v>221</v>
      </c>
      <c r="D56" s="11" t="s">
        <v>222</v>
      </c>
      <c r="E56" s="12" t="n">
        <v>126</v>
      </c>
      <c r="F56" s="13" t="n">
        <f aca="false">E56/(1+Forudsætninger!$B$3)</f>
        <v>100.8</v>
      </c>
      <c r="G56" s="14" t="n">
        <v>85.8</v>
      </c>
      <c r="H56" s="15" t="n">
        <f aca="false">IF(OR(G56="",F56=0),"",(F56-G56)/F56)</f>
        <v>0.148809523809524</v>
      </c>
      <c r="I56" s="11" t="str">
        <f aca="false">IF(G56="","UKENDT",IF(OR(E56=0,H56&lt;0),"KRITISK",IF(H56&lt;0.2,"HØJ",IF(H56&lt;0.35,"MIDDEL","OK"))))</f>
        <v>HØJ</v>
      </c>
      <c r="J56" s="12" t="n">
        <f aca="false">IF(G56="","",MAX(E56,CEILING(G56/(1-Forudsætninger!$B$4)*(1+Forudsætninger!$B$3),IF(G56/(1-Forudsætninger!$B$4)*(1+Forudsætninger!$B$3)&lt;50,1,IF(G56/(1-Forudsætninger!$B$4)*(1+Forudsætninger!$B$3)&lt;200,5,10)))))</f>
        <v>195</v>
      </c>
      <c r="K56" s="15" t="n">
        <f aca="false">IF(OR(J56="",E56=0),"",J56/E56-1)</f>
        <v>0.547619047619048</v>
      </c>
      <c r="L56" s="15" t="n">
        <f aca="false">IF(J56="","",(J56/(1+Forudsætninger!$B$3)-G56)/(J56/(1+Forudsætninger!$B$3)))</f>
        <v>0.45</v>
      </c>
      <c r="M56" s="11" t="s">
        <v>223</v>
      </c>
      <c r="N56" s="11"/>
    </row>
    <row r="57" customFormat="false" ht="15" hidden="false" customHeight="false" outlineLevel="0" collapsed="false">
      <c r="A57" s="11" t="s">
        <v>32</v>
      </c>
      <c r="B57" s="11" t="s">
        <v>61</v>
      </c>
      <c r="C57" s="11" t="s">
        <v>151</v>
      </c>
      <c r="D57" s="11" t="s">
        <v>224</v>
      </c>
      <c r="E57" s="12" t="n">
        <v>180</v>
      </c>
      <c r="F57" s="13" t="n">
        <f aca="false">E57/(1+Forudsætninger!$B$3)</f>
        <v>144</v>
      </c>
      <c r="G57" s="14" t="n">
        <v>121</v>
      </c>
      <c r="H57" s="15" t="n">
        <f aca="false">IF(OR(G57="",F57=0),"",(F57-G57)/F57)</f>
        <v>0.159722222222222</v>
      </c>
      <c r="I57" s="11" t="str">
        <f aca="false">IF(G57="","UKENDT",IF(OR(E57=0,H57&lt;0),"KRITISK",IF(H57&lt;0.2,"HØJ",IF(H57&lt;0.35,"MIDDEL","OK"))))</f>
        <v>HØJ</v>
      </c>
      <c r="J57" s="12" t="n">
        <f aca="false">IF(G57="","",MAX(E57,CEILING(G57/(1-Forudsætninger!$B$4)*(1+Forudsætninger!$B$3),IF(G57/(1-Forudsætninger!$B$4)*(1+Forudsætninger!$B$3)&lt;50,1,IF(G57/(1-Forudsætninger!$B$4)*(1+Forudsætninger!$B$3)&lt;200,5,10)))))</f>
        <v>280</v>
      </c>
      <c r="K57" s="15" t="n">
        <f aca="false">IF(OR(J57="",E57=0),"",J57/E57-1)</f>
        <v>0.555555555555556</v>
      </c>
      <c r="L57" s="15" t="n">
        <f aca="false">IF(J57="","",(J57/(1+Forudsætninger!$B$3)-G57)/(J57/(1+Forudsætninger!$B$3)))</f>
        <v>0.459821428571429</v>
      </c>
      <c r="M57" s="11" t="s">
        <v>225</v>
      </c>
      <c r="N57" s="11"/>
    </row>
    <row r="58" customFormat="false" ht="15" hidden="false" customHeight="false" outlineLevel="0" collapsed="false">
      <c r="A58" s="11" t="s">
        <v>24</v>
      </c>
      <c r="B58" s="11" t="s">
        <v>226</v>
      </c>
      <c r="C58" s="11" t="s">
        <v>227</v>
      </c>
      <c r="D58" s="11" t="s">
        <v>228</v>
      </c>
      <c r="E58" s="12" t="n">
        <v>46</v>
      </c>
      <c r="F58" s="13" t="n">
        <f aca="false">E58/(1+Forudsætninger!$B$3)</f>
        <v>36.8</v>
      </c>
      <c r="G58" s="14" t="n">
        <v>30.8</v>
      </c>
      <c r="H58" s="15" t="n">
        <f aca="false">IF(OR(G58="",F58=0),"",(F58-G58)/F58)</f>
        <v>0.163043478260869</v>
      </c>
      <c r="I58" s="11" t="str">
        <f aca="false">IF(G58="","UKENDT",IF(OR(E58=0,H58&lt;0),"KRITISK",IF(H58&lt;0.2,"HØJ",IF(H58&lt;0.35,"MIDDEL","OK"))))</f>
        <v>HØJ</v>
      </c>
      <c r="J58" s="12" t="n">
        <f aca="false">IF(G58="","",MAX(E58,CEILING(G58/(1-Forudsætninger!$B$4)*(1+Forudsætninger!$B$3),IF(G58/(1-Forudsætninger!$B$4)*(1+Forudsætninger!$B$3)&lt;50,1,IF(G58/(1-Forudsætninger!$B$4)*(1+Forudsætninger!$B$3)&lt;200,5,10)))))</f>
        <v>70</v>
      </c>
      <c r="K58" s="15" t="n">
        <f aca="false">IF(OR(J58="",E58=0),"",J58/E58-1)</f>
        <v>0.521739130434783</v>
      </c>
      <c r="L58" s="15" t="n">
        <f aca="false">IF(J58="","",(J58/(1+Forudsætninger!$B$3)-G58)/(J58/(1+Forudsætninger!$B$3)))</f>
        <v>0.45</v>
      </c>
      <c r="M58" s="11" t="s">
        <v>229</v>
      </c>
      <c r="N58" s="11"/>
    </row>
    <row r="59" customFormat="false" ht="15" hidden="false" customHeight="false" outlineLevel="0" collapsed="false">
      <c r="A59" s="11" t="s">
        <v>30</v>
      </c>
      <c r="B59" s="11" t="s">
        <v>230</v>
      </c>
      <c r="C59" s="11" t="s">
        <v>120</v>
      </c>
      <c r="D59" s="11" t="s">
        <v>231</v>
      </c>
      <c r="E59" s="12" t="n">
        <v>99</v>
      </c>
      <c r="F59" s="13" t="n">
        <f aca="false">E59/(1+Forudsætninger!$B$3)</f>
        <v>79.2</v>
      </c>
      <c r="G59" s="14" t="n">
        <v>66</v>
      </c>
      <c r="H59" s="15" t="n">
        <f aca="false">IF(OR(G59="",F59=0),"",(F59-G59)/F59)</f>
        <v>0.166666666666667</v>
      </c>
      <c r="I59" s="11" t="str">
        <f aca="false">IF(G59="","UKENDT",IF(OR(E59=0,H59&lt;0),"KRITISK",IF(H59&lt;0.2,"HØJ",IF(H59&lt;0.35,"MIDDEL","OK"))))</f>
        <v>HØJ</v>
      </c>
      <c r="J59" s="12" t="n">
        <f aca="false">IF(G59="","",MAX(E59,CEILING(G59/(1-Forudsætninger!$B$4)*(1+Forudsætninger!$B$3),IF(G59/(1-Forudsætninger!$B$4)*(1+Forudsætninger!$B$3)&lt;50,1,IF(G59/(1-Forudsætninger!$B$4)*(1+Forudsætninger!$B$3)&lt;200,5,10)))))</f>
        <v>150</v>
      </c>
      <c r="K59" s="15" t="n">
        <f aca="false">IF(OR(J59="",E59=0),"",J59/E59-1)</f>
        <v>0.515151515151515</v>
      </c>
      <c r="L59" s="15" t="n">
        <f aca="false">IF(J59="","",(J59/(1+Forudsætninger!$B$3)-G59)/(J59/(1+Forudsætninger!$B$3)))</f>
        <v>0.45</v>
      </c>
      <c r="M59" s="11" t="s">
        <v>232</v>
      </c>
      <c r="N59" s="11"/>
    </row>
    <row r="60" customFormat="false" ht="15" hidden="false" customHeight="false" outlineLevel="0" collapsed="false">
      <c r="A60" s="11" t="s">
        <v>30</v>
      </c>
      <c r="B60" s="11" t="s">
        <v>230</v>
      </c>
      <c r="C60" s="11" t="s">
        <v>123</v>
      </c>
      <c r="D60" s="11" t="s">
        <v>233</v>
      </c>
      <c r="E60" s="12" t="n">
        <v>99</v>
      </c>
      <c r="F60" s="13" t="n">
        <f aca="false">E60/(1+Forudsætninger!$B$3)</f>
        <v>79.2</v>
      </c>
      <c r="G60" s="14" t="n">
        <v>66</v>
      </c>
      <c r="H60" s="15" t="n">
        <f aca="false">IF(OR(G60="",F60=0),"",(F60-G60)/F60)</f>
        <v>0.166666666666667</v>
      </c>
      <c r="I60" s="11" t="str">
        <f aca="false">IF(G60="","UKENDT",IF(OR(E60=0,H60&lt;0),"KRITISK",IF(H60&lt;0.2,"HØJ",IF(H60&lt;0.35,"MIDDEL","OK"))))</f>
        <v>HØJ</v>
      </c>
      <c r="J60" s="12" t="n">
        <f aca="false">IF(G60="","",MAX(E60,CEILING(G60/(1-Forudsætninger!$B$4)*(1+Forudsætninger!$B$3),IF(G60/(1-Forudsætninger!$B$4)*(1+Forudsætninger!$B$3)&lt;50,1,IF(G60/(1-Forudsætninger!$B$4)*(1+Forudsætninger!$B$3)&lt;200,5,10)))))</f>
        <v>150</v>
      </c>
      <c r="K60" s="15" t="n">
        <f aca="false">IF(OR(J60="",E60=0),"",J60/E60-1)</f>
        <v>0.515151515151515</v>
      </c>
      <c r="L60" s="15" t="n">
        <f aca="false">IF(J60="","",(J60/(1+Forudsætninger!$B$3)-G60)/(J60/(1+Forudsætninger!$B$3)))</f>
        <v>0.45</v>
      </c>
      <c r="M60" s="11" t="s">
        <v>234</v>
      </c>
      <c r="N60" s="11"/>
    </row>
    <row r="61" customFormat="false" ht="15" hidden="false" customHeight="false" outlineLevel="0" collapsed="false">
      <c r="A61" s="11" t="s">
        <v>30</v>
      </c>
      <c r="B61" s="11" t="s">
        <v>230</v>
      </c>
      <c r="C61" s="11" t="s">
        <v>126</v>
      </c>
      <c r="D61" s="11" t="s">
        <v>235</v>
      </c>
      <c r="E61" s="12" t="n">
        <v>99</v>
      </c>
      <c r="F61" s="13" t="n">
        <f aca="false">E61/(1+Forudsætninger!$B$3)</f>
        <v>79.2</v>
      </c>
      <c r="G61" s="14" t="n">
        <v>66</v>
      </c>
      <c r="H61" s="15" t="n">
        <f aca="false">IF(OR(G61="",F61=0),"",(F61-G61)/F61)</f>
        <v>0.166666666666667</v>
      </c>
      <c r="I61" s="11" t="str">
        <f aca="false">IF(G61="","UKENDT",IF(OR(E61=0,H61&lt;0),"KRITISK",IF(H61&lt;0.2,"HØJ",IF(H61&lt;0.35,"MIDDEL","OK"))))</f>
        <v>HØJ</v>
      </c>
      <c r="J61" s="12" t="n">
        <f aca="false">IF(G61="","",MAX(E61,CEILING(G61/(1-Forudsætninger!$B$4)*(1+Forudsætninger!$B$3),IF(G61/(1-Forudsætninger!$B$4)*(1+Forudsætninger!$B$3)&lt;50,1,IF(G61/(1-Forudsætninger!$B$4)*(1+Forudsætninger!$B$3)&lt;200,5,10)))))</f>
        <v>150</v>
      </c>
      <c r="K61" s="15" t="n">
        <f aca="false">IF(OR(J61="",E61=0),"",J61/E61-1)</f>
        <v>0.515151515151515</v>
      </c>
      <c r="L61" s="15" t="n">
        <f aca="false">IF(J61="","",(J61/(1+Forudsætninger!$B$3)-G61)/(J61/(1+Forudsætninger!$B$3)))</f>
        <v>0.45</v>
      </c>
      <c r="M61" s="11" t="s">
        <v>236</v>
      </c>
      <c r="N61" s="11"/>
    </row>
    <row r="62" customFormat="false" ht="15" hidden="false" customHeight="false" outlineLevel="0" collapsed="false">
      <c r="A62" s="11" t="s">
        <v>30</v>
      </c>
      <c r="B62" s="11" t="s">
        <v>230</v>
      </c>
      <c r="C62" s="11" t="s">
        <v>129</v>
      </c>
      <c r="D62" s="11" t="s">
        <v>237</v>
      </c>
      <c r="E62" s="12" t="n">
        <v>99</v>
      </c>
      <c r="F62" s="13" t="n">
        <f aca="false">E62/(1+Forudsætninger!$B$3)</f>
        <v>79.2</v>
      </c>
      <c r="G62" s="14" t="n">
        <v>66</v>
      </c>
      <c r="H62" s="15" t="n">
        <f aca="false">IF(OR(G62="",F62=0),"",(F62-G62)/F62)</f>
        <v>0.166666666666667</v>
      </c>
      <c r="I62" s="11" t="str">
        <f aca="false">IF(G62="","UKENDT",IF(OR(E62=0,H62&lt;0),"KRITISK",IF(H62&lt;0.2,"HØJ",IF(H62&lt;0.35,"MIDDEL","OK"))))</f>
        <v>HØJ</v>
      </c>
      <c r="J62" s="12" t="n">
        <f aca="false">IF(G62="","",MAX(E62,CEILING(G62/(1-Forudsætninger!$B$4)*(1+Forudsætninger!$B$3),IF(G62/(1-Forudsætninger!$B$4)*(1+Forudsætninger!$B$3)&lt;50,1,IF(G62/(1-Forudsætninger!$B$4)*(1+Forudsætninger!$B$3)&lt;200,5,10)))))</f>
        <v>150</v>
      </c>
      <c r="K62" s="15" t="n">
        <f aca="false">IF(OR(J62="",E62=0),"",J62/E62-1)</f>
        <v>0.515151515151515</v>
      </c>
      <c r="L62" s="15" t="n">
        <f aca="false">IF(J62="","",(J62/(1+Forudsætninger!$B$3)-G62)/(J62/(1+Forudsætninger!$B$3)))</f>
        <v>0.45</v>
      </c>
      <c r="M62" s="11" t="s">
        <v>238</v>
      </c>
      <c r="N62" s="11"/>
    </row>
    <row r="63" customFormat="false" ht="15" hidden="false" customHeight="false" outlineLevel="0" collapsed="false">
      <c r="A63" s="11" t="s">
        <v>30</v>
      </c>
      <c r="B63" s="11" t="s">
        <v>230</v>
      </c>
      <c r="C63" s="11" t="s">
        <v>132</v>
      </c>
      <c r="D63" s="11" t="s">
        <v>239</v>
      </c>
      <c r="E63" s="12" t="n">
        <v>99</v>
      </c>
      <c r="F63" s="13" t="n">
        <f aca="false">E63/(1+Forudsætninger!$B$3)</f>
        <v>79.2</v>
      </c>
      <c r="G63" s="14" t="n">
        <v>66</v>
      </c>
      <c r="H63" s="15" t="n">
        <f aca="false">IF(OR(G63="",F63=0),"",(F63-G63)/F63)</f>
        <v>0.166666666666667</v>
      </c>
      <c r="I63" s="11" t="str">
        <f aca="false">IF(G63="","UKENDT",IF(OR(E63=0,H63&lt;0),"KRITISK",IF(H63&lt;0.2,"HØJ",IF(H63&lt;0.35,"MIDDEL","OK"))))</f>
        <v>HØJ</v>
      </c>
      <c r="J63" s="12" t="n">
        <f aca="false">IF(G63="","",MAX(E63,CEILING(G63/(1-Forudsætninger!$B$4)*(1+Forudsætninger!$B$3),IF(G63/(1-Forudsætninger!$B$4)*(1+Forudsætninger!$B$3)&lt;50,1,IF(G63/(1-Forudsætninger!$B$4)*(1+Forudsætninger!$B$3)&lt;200,5,10)))))</f>
        <v>150</v>
      </c>
      <c r="K63" s="15" t="n">
        <f aca="false">IF(OR(J63="",E63=0),"",J63/E63-1)</f>
        <v>0.515151515151515</v>
      </c>
      <c r="L63" s="15" t="n">
        <f aca="false">IF(J63="","",(J63/(1+Forudsætninger!$B$3)-G63)/(J63/(1+Forudsætninger!$B$3)))</f>
        <v>0.45</v>
      </c>
      <c r="M63" s="11" t="s">
        <v>240</v>
      </c>
      <c r="N63" s="11"/>
    </row>
    <row r="64" customFormat="false" ht="15" hidden="false" customHeight="false" outlineLevel="0" collapsed="false">
      <c r="A64" s="11" t="s">
        <v>30</v>
      </c>
      <c r="B64" s="11" t="s">
        <v>230</v>
      </c>
      <c r="C64" s="11" t="s">
        <v>135</v>
      </c>
      <c r="D64" s="11" t="s">
        <v>241</v>
      </c>
      <c r="E64" s="12" t="n">
        <v>99</v>
      </c>
      <c r="F64" s="13" t="n">
        <f aca="false">E64/(1+Forudsætninger!$B$3)</f>
        <v>79.2</v>
      </c>
      <c r="G64" s="14" t="n">
        <v>66</v>
      </c>
      <c r="H64" s="15" t="n">
        <f aca="false">IF(OR(G64="",F64=0),"",(F64-G64)/F64)</f>
        <v>0.166666666666667</v>
      </c>
      <c r="I64" s="11" t="str">
        <f aca="false">IF(G64="","UKENDT",IF(OR(E64=0,H64&lt;0),"KRITISK",IF(H64&lt;0.2,"HØJ",IF(H64&lt;0.35,"MIDDEL","OK"))))</f>
        <v>HØJ</v>
      </c>
      <c r="J64" s="12" t="n">
        <f aca="false">IF(G64="","",MAX(E64,CEILING(G64/(1-Forudsætninger!$B$4)*(1+Forudsætninger!$B$3),IF(G64/(1-Forudsætninger!$B$4)*(1+Forudsætninger!$B$3)&lt;50,1,IF(G64/(1-Forudsætninger!$B$4)*(1+Forudsætninger!$B$3)&lt;200,5,10)))))</f>
        <v>150</v>
      </c>
      <c r="K64" s="15" t="n">
        <f aca="false">IF(OR(J64="",E64=0),"",J64/E64-1)</f>
        <v>0.515151515151515</v>
      </c>
      <c r="L64" s="15" t="n">
        <f aca="false">IF(J64="","",(J64/(1+Forudsætninger!$B$3)-G64)/(J64/(1+Forudsætninger!$B$3)))</f>
        <v>0.45</v>
      </c>
      <c r="M64" s="11" t="s">
        <v>242</v>
      </c>
      <c r="N64" s="11"/>
    </row>
    <row r="65" customFormat="false" ht="15" hidden="false" customHeight="false" outlineLevel="0" collapsed="false">
      <c r="A65" s="11" t="s">
        <v>30</v>
      </c>
      <c r="B65" s="11" t="s">
        <v>230</v>
      </c>
      <c r="C65" s="11" t="s">
        <v>138</v>
      </c>
      <c r="D65" s="11" t="s">
        <v>243</v>
      </c>
      <c r="E65" s="12" t="n">
        <v>99</v>
      </c>
      <c r="F65" s="13" t="n">
        <f aca="false">E65/(1+Forudsætninger!$B$3)</f>
        <v>79.2</v>
      </c>
      <c r="G65" s="14" t="n">
        <v>66</v>
      </c>
      <c r="H65" s="15" t="n">
        <f aca="false">IF(OR(G65="",F65=0),"",(F65-G65)/F65)</f>
        <v>0.166666666666667</v>
      </c>
      <c r="I65" s="11" t="str">
        <f aca="false">IF(G65="","UKENDT",IF(OR(E65=0,H65&lt;0),"KRITISK",IF(H65&lt;0.2,"HØJ",IF(H65&lt;0.35,"MIDDEL","OK"))))</f>
        <v>HØJ</v>
      </c>
      <c r="J65" s="12" t="n">
        <f aca="false">IF(G65="","",MAX(E65,CEILING(G65/(1-Forudsætninger!$B$4)*(1+Forudsætninger!$B$3),IF(G65/(1-Forudsætninger!$B$4)*(1+Forudsætninger!$B$3)&lt;50,1,IF(G65/(1-Forudsætninger!$B$4)*(1+Forudsætninger!$B$3)&lt;200,5,10)))))</f>
        <v>150</v>
      </c>
      <c r="K65" s="15" t="n">
        <f aca="false">IF(OR(J65="",E65=0),"",J65/E65-1)</f>
        <v>0.515151515151515</v>
      </c>
      <c r="L65" s="15" t="n">
        <f aca="false">IF(J65="","",(J65/(1+Forudsætninger!$B$3)-G65)/(J65/(1+Forudsætninger!$B$3)))</f>
        <v>0.45</v>
      </c>
      <c r="M65" s="11" t="s">
        <v>244</v>
      </c>
      <c r="N65" s="11"/>
    </row>
    <row r="66" customFormat="false" ht="15" hidden="false" customHeight="false" outlineLevel="0" collapsed="false">
      <c r="A66" s="11" t="s">
        <v>30</v>
      </c>
      <c r="B66" s="11" t="s">
        <v>230</v>
      </c>
      <c r="C66" s="11" t="s">
        <v>141</v>
      </c>
      <c r="D66" s="11" t="s">
        <v>245</v>
      </c>
      <c r="E66" s="12" t="n">
        <v>99</v>
      </c>
      <c r="F66" s="13" t="n">
        <f aca="false">E66/(1+Forudsætninger!$B$3)</f>
        <v>79.2</v>
      </c>
      <c r="G66" s="14" t="n">
        <v>66</v>
      </c>
      <c r="H66" s="15" t="n">
        <f aca="false">IF(OR(G66="",F66=0),"",(F66-G66)/F66)</f>
        <v>0.166666666666667</v>
      </c>
      <c r="I66" s="11" t="str">
        <f aca="false">IF(G66="","UKENDT",IF(OR(E66=0,H66&lt;0),"KRITISK",IF(H66&lt;0.2,"HØJ",IF(H66&lt;0.35,"MIDDEL","OK"))))</f>
        <v>HØJ</v>
      </c>
      <c r="J66" s="12" t="n">
        <f aca="false">IF(G66="","",MAX(E66,CEILING(G66/(1-Forudsætninger!$B$4)*(1+Forudsætninger!$B$3),IF(G66/(1-Forudsætninger!$B$4)*(1+Forudsætninger!$B$3)&lt;50,1,IF(G66/(1-Forudsætninger!$B$4)*(1+Forudsætninger!$B$3)&lt;200,5,10)))))</f>
        <v>150</v>
      </c>
      <c r="K66" s="15" t="n">
        <f aca="false">IF(OR(J66="",E66=0),"",J66/E66-1)</f>
        <v>0.515151515151515</v>
      </c>
      <c r="L66" s="15" t="n">
        <f aca="false">IF(J66="","",(J66/(1+Forudsætninger!$B$3)-G66)/(J66/(1+Forudsætninger!$B$3)))</f>
        <v>0.45</v>
      </c>
      <c r="M66" s="11" t="s">
        <v>246</v>
      </c>
      <c r="N66" s="11"/>
    </row>
    <row r="67" customFormat="false" ht="15" hidden="false" customHeight="false" outlineLevel="0" collapsed="false">
      <c r="A67" s="11" t="s">
        <v>30</v>
      </c>
      <c r="B67" s="11" t="s">
        <v>247</v>
      </c>
      <c r="C67" s="11" t="s">
        <v>120</v>
      </c>
      <c r="D67" s="11" t="s">
        <v>248</v>
      </c>
      <c r="E67" s="12" t="n">
        <v>99</v>
      </c>
      <c r="F67" s="13" t="n">
        <f aca="false">E67/(1+Forudsætninger!$B$3)</f>
        <v>79.2</v>
      </c>
      <c r="G67" s="14" t="n">
        <v>66</v>
      </c>
      <c r="H67" s="15" t="n">
        <f aca="false">IF(OR(G67="",F67=0),"",(F67-G67)/F67)</f>
        <v>0.166666666666667</v>
      </c>
      <c r="I67" s="11" t="str">
        <f aca="false">IF(G67="","UKENDT",IF(OR(E67=0,H67&lt;0),"KRITISK",IF(H67&lt;0.2,"HØJ",IF(H67&lt;0.35,"MIDDEL","OK"))))</f>
        <v>HØJ</v>
      </c>
      <c r="J67" s="12" t="n">
        <f aca="false">IF(G67="","",MAX(E67,CEILING(G67/(1-Forudsætninger!$B$4)*(1+Forudsætninger!$B$3),IF(G67/(1-Forudsætninger!$B$4)*(1+Forudsætninger!$B$3)&lt;50,1,IF(G67/(1-Forudsætninger!$B$4)*(1+Forudsætninger!$B$3)&lt;200,5,10)))))</f>
        <v>150</v>
      </c>
      <c r="K67" s="15" t="n">
        <f aca="false">IF(OR(J67="",E67=0),"",J67/E67-1)</f>
        <v>0.515151515151515</v>
      </c>
      <c r="L67" s="15" t="n">
        <f aca="false">IF(J67="","",(J67/(1+Forudsætninger!$B$3)-G67)/(J67/(1+Forudsætninger!$B$3)))</f>
        <v>0.45</v>
      </c>
      <c r="M67" s="11" t="s">
        <v>249</v>
      </c>
      <c r="N67" s="11"/>
    </row>
    <row r="68" customFormat="false" ht="15" hidden="false" customHeight="false" outlineLevel="0" collapsed="false">
      <c r="A68" s="11" t="s">
        <v>30</v>
      </c>
      <c r="B68" s="11" t="s">
        <v>247</v>
      </c>
      <c r="C68" s="11" t="s">
        <v>123</v>
      </c>
      <c r="D68" s="11" t="s">
        <v>250</v>
      </c>
      <c r="E68" s="12" t="n">
        <v>99</v>
      </c>
      <c r="F68" s="13" t="n">
        <f aca="false">E68/(1+Forudsætninger!$B$3)</f>
        <v>79.2</v>
      </c>
      <c r="G68" s="14" t="n">
        <v>66</v>
      </c>
      <c r="H68" s="15" t="n">
        <f aca="false">IF(OR(G68="",F68=0),"",(F68-G68)/F68)</f>
        <v>0.166666666666667</v>
      </c>
      <c r="I68" s="11" t="str">
        <f aca="false">IF(G68="","UKENDT",IF(OR(E68=0,H68&lt;0),"KRITISK",IF(H68&lt;0.2,"HØJ",IF(H68&lt;0.35,"MIDDEL","OK"))))</f>
        <v>HØJ</v>
      </c>
      <c r="J68" s="12" t="n">
        <f aca="false">IF(G68="","",MAX(E68,CEILING(G68/(1-Forudsætninger!$B$4)*(1+Forudsætninger!$B$3),IF(G68/(1-Forudsætninger!$B$4)*(1+Forudsætninger!$B$3)&lt;50,1,IF(G68/(1-Forudsætninger!$B$4)*(1+Forudsætninger!$B$3)&lt;200,5,10)))))</f>
        <v>150</v>
      </c>
      <c r="K68" s="15" t="n">
        <f aca="false">IF(OR(J68="",E68=0),"",J68/E68-1)</f>
        <v>0.515151515151515</v>
      </c>
      <c r="L68" s="15" t="n">
        <f aca="false">IF(J68="","",(J68/(1+Forudsætninger!$B$3)-G68)/(J68/(1+Forudsætninger!$B$3)))</f>
        <v>0.45</v>
      </c>
      <c r="M68" s="11" t="s">
        <v>251</v>
      </c>
      <c r="N68" s="11"/>
    </row>
    <row r="69" customFormat="false" ht="15" hidden="false" customHeight="false" outlineLevel="0" collapsed="false">
      <c r="A69" s="11" t="s">
        <v>30</v>
      </c>
      <c r="B69" s="11" t="s">
        <v>247</v>
      </c>
      <c r="C69" s="11" t="s">
        <v>126</v>
      </c>
      <c r="D69" s="11" t="s">
        <v>252</v>
      </c>
      <c r="E69" s="12" t="n">
        <v>99</v>
      </c>
      <c r="F69" s="13" t="n">
        <f aca="false">E69/(1+Forudsætninger!$B$3)</f>
        <v>79.2</v>
      </c>
      <c r="G69" s="14" t="n">
        <v>66</v>
      </c>
      <c r="H69" s="15" t="n">
        <f aca="false">IF(OR(G69="",F69=0),"",(F69-G69)/F69)</f>
        <v>0.166666666666667</v>
      </c>
      <c r="I69" s="11" t="str">
        <f aca="false">IF(G69="","UKENDT",IF(OR(E69=0,H69&lt;0),"KRITISK",IF(H69&lt;0.2,"HØJ",IF(H69&lt;0.35,"MIDDEL","OK"))))</f>
        <v>HØJ</v>
      </c>
      <c r="J69" s="12" t="n">
        <f aca="false">IF(G69="","",MAX(E69,CEILING(G69/(1-Forudsætninger!$B$4)*(1+Forudsætninger!$B$3),IF(G69/(1-Forudsætninger!$B$4)*(1+Forudsætninger!$B$3)&lt;50,1,IF(G69/(1-Forudsætninger!$B$4)*(1+Forudsætninger!$B$3)&lt;200,5,10)))))</f>
        <v>150</v>
      </c>
      <c r="K69" s="15" t="n">
        <f aca="false">IF(OR(J69="",E69=0),"",J69/E69-1)</f>
        <v>0.515151515151515</v>
      </c>
      <c r="L69" s="15" t="n">
        <f aca="false">IF(J69="","",(J69/(1+Forudsætninger!$B$3)-G69)/(J69/(1+Forudsætninger!$B$3)))</f>
        <v>0.45</v>
      </c>
      <c r="M69" s="11" t="s">
        <v>253</v>
      </c>
      <c r="N69" s="11"/>
    </row>
    <row r="70" customFormat="false" ht="15" hidden="false" customHeight="false" outlineLevel="0" collapsed="false">
      <c r="A70" s="11" t="s">
        <v>30</v>
      </c>
      <c r="B70" s="11" t="s">
        <v>247</v>
      </c>
      <c r="C70" s="11" t="s">
        <v>129</v>
      </c>
      <c r="D70" s="11" t="s">
        <v>254</v>
      </c>
      <c r="E70" s="12" t="n">
        <v>99</v>
      </c>
      <c r="F70" s="13" t="n">
        <f aca="false">E70/(1+Forudsætninger!$B$3)</f>
        <v>79.2</v>
      </c>
      <c r="G70" s="14" t="n">
        <v>66</v>
      </c>
      <c r="H70" s="15" t="n">
        <f aca="false">IF(OR(G70="",F70=0),"",(F70-G70)/F70)</f>
        <v>0.166666666666667</v>
      </c>
      <c r="I70" s="11" t="str">
        <f aca="false">IF(G70="","UKENDT",IF(OR(E70=0,H70&lt;0),"KRITISK",IF(H70&lt;0.2,"HØJ",IF(H70&lt;0.35,"MIDDEL","OK"))))</f>
        <v>HØJ</v>
      </c>
      <c r="J70" s="12" t="n">
        <f aca="false">IF(G70="","",MAX(E70,CEILING(G70/(1-Forudsætninger!$B$4)*(1+Forudsætninger!$B$3),IF(G70/(1-Forudsætninger!$B$4)*(1+Forudsætninger!$B$3)&lt;50,1,IF(G70/(1-Forudsætninger!$B$4)*(1+Forudsætninger!$B$3)&lt;200,5,10)))))</f>
        <v>150</v>
      </c>
      <c r="K70" s="15" t="n">
        <f aca="false">IF(OR(J70="",E70=0),"",J70/E70-1)</f>
        <v>0.515151515151515</v>
      </c>
      <c r="L70" s="15" t="n">
        <f aca="false">IF(J70="","",(J70/(1+Forudsætninger!$B$3)-G70)/(J70/(1+Forudsætninger!$B$3)))</f>
        <v>0.45</v>
      </c>
      <c r="M70" s="11" t="s">
        <v>255</v>
      </c>
      <c r="N70" s="11"/>
    </row>
    <row r="71" customFormat="false" ht="15" hidden="false" customHeight="false" outlineLevel="0" collapsed="false">
      <c r="A71" s="11" t="s">
        <v>30</v>
      </c>
      <c r="B71" s="11" t="s">
        <v>247</v>
      </c>
      <c r="C71" s="11" t="s">
        <v>132</v>
      </c>
      <c r="D71" s="11" t="s">
        <v>256</v>
      </c>
      <c r="E71" s="12" t="n">
        <v>99</v>
      </c>
      <c r="F71" s="13" t="n">
        <f aca="false">E71/(1+Forudsætninger!$B$3)</f>
        <v>79.2</v>
      </c>
      <c r="G71" s="14" t="n">
        <v>66</v>
      </c>
      <c r="H71" s="15" t="n">
        <f aca="false">IF(OR(G71="",F71=0),"",(F71-G71)/F71)</f>
        <v>0.166666666666667</v>
      </c>
      <c r="I71" s="11" t="str">
        <f aca="false">IF(G71="","UKENDT",IF(OR(E71=0,H71&lt;0),"KRITISK",IF(H71&lt;0.2,"HØJ",IF(H71&lt;0.35,"MIDDEL","OK"))))</f>
        <v>HØJ</v>
      </c>
      <c r="J71" s="12" t="n">
        <f aca="false">IF(G71="","",MAX(E71,CEILING(G71/(1-Forudsætninger!$B$4)*(1+Forudsætninger!$B$3),IF(G71/(1-Forudsætninger!$B$4)*(1+Forudsætninger!$B$3)&lt;50,1,IF(G71/(1-Forudsætninger!$B$4)*(1+Forudsætninger!$B$3)&lt;200,5,10)))))</f>
        <v>150</v>
      </c>
      <c r="K71" s="15" t="n">
        <f aca="false">IF(OR(J71="",E71=0),"",J71/E71-1)</f>
        <v>0.515151515151515</v>
      </c>
      <c r="L71" s="15" t="n">
        <f aca="false">IF(J71="","",(J71/(1+Forudsætninger!$B$3)-G71)/(J71/(1+Forudsætninger!$B$3)))</f>
        <v>0.45</v>
      </c>
      <c r="M71" s="11" t="s">
        <v>257</v>
      </c>
      <c r="N71" s="11"/>
    </row>
    <row r="72" customFormat="false" ht="15" hidden="false" customHeight="false" outlineLevel="0" collapsed="false">
      <c r="A72" s="11" t="s">
        <v>30</v>
      </c>
      <c r="B72" s="11" t="s">
        <v>247</v>
      </c>
      <c r="C72" s="11" t="s">
        <v>135</v>
      </c>
      <c r="D72" s="11" t="s">
        <v>258</v>
      </c>
      <c r="E72" s="12" t="n">
        <v>99</v>
      </c>
      <c r="F72" s="13" t="n">
        <f aca="false">E72/(1+Forudsætninger!$B$3)</f>
        <v>79.2</v>
      </c>
      <c r="G72" s="14" t="n">
        <v>66</v>
      </c>
      <c r="H72" s="15" t="n">
        <f aca="false">IF(OR(G72="",F72=0),"",(F72-G72)/F72)</f>
        <v>0.166666666666667</v>
      </c>
      <c r="I72" s="11" t="str">
        <f aca="false">IF(G72="","UKENDT",IF(OR(E72=0,H72&lt;0),"KRITISK",IF(H72&lt;0.2,"HØJ",IF(H72&lt;0.35,"MIDDEL","OK"))))</f>
        <v>HØJ</v>
      </c>
      <c r="J72" s="12" t="n">
        <f aca="false">IF(G72="","",MAX(E72,CEILING(G72/(1-Forudsætninger!$B$4)*(1+Forudsætninger!$B$3),IF(G72/(1-Forudsætninger!$B$4)*(1+Forudsætninger!$B$3)&lt;50,1,IF(G72/(1-Forudsætninger!$B$4)*(1+Forudsætninger!$B$3)&lt;200,5,10)))))</f>
        <v>150</v>
      </c>
      <c r="K72" s="15" t="n">
        <f aca="false">IF(OR(J72="",E72=0),"",J72/E72-1)</f>
        <v>0.515151515151515</v>
      </c>
      <c r="L72" s="15" t="n">
        <f aca="false">IF(J72="","",(J72/(1+Forudsætninger!$B$3)-G72)/(J72/(1+Forudsætninger!$B$3)))</f>
        <v>0.45</v>
      </c>
      <c r="M72" s="11" t="s">
        <v>259</v>
      </c>
      <c r="N72" s="11"/>
    </row>
    <row r="73" customFormat="false" ht="15" hidden="false" customHeight="false" outlineLevel="0" collapsed="false">
      <c r="A73" s="11" t="s">
        <v>30</v>
      </c>
      <c r="B73" s="11" t="s">
        <v>247</v>
      </c>
      <c r="C73" s="11" t="s">
        <v>138</v>
      </c>
      <c r="D73" s="11" t="s">
        <v>260</v>
      </c>
      <c r="E73" s="12" t="n">
        <v>99</v>
      </c>
      <c r="F73" s="13" t="n">
        <f aca="false">E73/(1+Forudsætninger!$B$3)</f>
        <v>79.2</v>
      </c>
      <c r="G73" s="14" t="n">
        <v>66</v>
      </c>
      <c r="H73" s="15" t="n">
        <f aca="false">IF(OR(G73="",F73=0),"",(F73-G73)/F73)</f>
        <v>0.166666666666667</v>
      </c>
      <c r="I73" s="11" t="str">
        <f aca="false">IF(G73="","UKENDT",IF(OR(E73=0,H73&lt;0),"KRITISK",IF(H73&lt;0.2,"HØJ",IF(H73&lt;0.35,"MIDDEL","OK"))))</f>
        <v>HØJ</v>
      </c>
      <c r="J73" s="12" t="n">
        <f aca="false">IF(G73="","",MAX(E73,CEILING(G73/(1-Forudsætninger!$B$4)*(1+Forudsætninger!$B$3),IF(G73/(1-Forudsætninger!$B$4)*(1+Forudsætninger!$B$3)&lt;50,1,IF(G73/(1-Forudsætninger!$B$4)*(1+Forudsætninger!$B$3)&lt;200,5,10)))))</f>
        <v>150</v>
      </c>
      <c r="K73" s="15" t="n">
        <f aca="false">IF(OR(J73="",E73=0),"",J73/E73-1)</f>
        <v>0.515151515151515</v>
      </c>
      <c r="L73" s="15" t="n">
        <f aca="false">IF(J73="","",(J73/(1+Forudsætninger!$B$3)-G73)/(J73/(1+Forudsætninger!$B$3)))</f>
        <v>0.45</v>
      </c>
      <c r="M73" s="11" t="s">
        <v>261</v>
      </c>
      <c r="N73" s="11"/>
    </row>
    <row r="74" customFormat="false" ht="15" hidden="false" customHeight="false" outlineLevel="0" collapsed="false">
      <c r="A74" s="11" t="s">
        <v>30</v>
      </c>
      <c r="B74" s="11" t="s">
        <v>247</v>
      </c>
      <c r="C74" s="11" t="s">
        <v>141</v>
      </c>
      <c r="D74" s="11" t="s">
        <v>262</v>
      </c>
      <c r="E74" s="12" t="n">
        <v>99</v>
      </c>
      <c r="F74" s="13" t="n">
        <f aca="false">E74/(1+Forudsætninger!$B$3)</f>
        <v>79.2</v>
      </c>
      <c r="G74" s="14" t="n">
        <v>66</v>
      </c>
      <c r="H74" s="15" t="n">
        <f aca="false">IF(OR(G74="",F74=0),"",(F74-G74)/F74)</f>
        <v>0.166666666666667</v>
      </c>
      <c r="I74" s="11" t="str">
        <f aca="false">IF(G74="","UKENDT",IF(OR(E74=0,H74&lt;0),"KRITISK",IF(H74&lt;0.2,"HØJ",IF(H74&lt;0.35,"MIDDEL","OK"))))</f>
        <v>HØJ</v>
      </c>
      <c r="J74" s="12" t="n">
        <f aca="false">IF(G74="","",MAX(E74,CEILING(G74/(1-Forudsætninger!$B$4)*(1+Forudsætninger!$B$3),IF(G74/(1-Forudsætninger!$B$4)*(1+Forudsætninger!$B$3)&lt;50,1,IF(G74/(1-Forudsætninger!$B$4)*(1+Forudsætninger!$B$3)&lt;200,5,10)))))</f>
        <v>150</v>
      </c>
      <c r="K74" s="15" t="n">
        <f aca="false">IF(OR(J74="",E74=0),"",J74/E74-1)</f>
        <v>0.515151515151515</v>
      </c>
      <c r="L74" s="15" t="n">
        <f aca="false">IF(J74="","",(J74/(1+Forudsætninger!$B$3)-G74)/(J74/(1+Forudsætninger!$B$3)))</f>
        <v>0.45</v>
      </c>
      <c r="M74" s="11" t="s">
        <v>263</v>
      </c>
      <c r="N74" s="11"/>
    </row>
    <row r="75" customFormat="false" ht="15" hidden="false" customHeight="false" outlineLevel="0" collapsed="false">
      <c r="A75" s="11" t="s">
        <v>27</v>
      </c>
      <c r="B75" s="11" t="s">
        <v>264</v>
      </c>
      <c r="C75" s="11" t="s">
        <v>100</v>
      </c>
      <c r="D75" s="11" t="s">
        <v>265</v>
      </c>
      <c r="E75" s="12" t="n">
        <v>38</v>
      </c>
      <c r="F75" s="13" t="n">
        <f aca="false">E75/(1+Forudsætninger!$B$3)</f>
        <v>30.4</v>
      </c>
      <c r="G75" s="14" t="n">
        <v>25.278</v>
      </c>
      <c r="H75" s="15" t="n">
        <f aca="false">IF(OR(G75="",F75=0),"",(F75-G75)/F75)</f>
        <v>0.168486842105263</v>
      </c>
      <c r="I75" s="11" t="str">
        <f aca="false">IF(G75="","UKENDT",IF(OR(E75=0,H75&lt;0),"KRITISK",IF(H75&lt;0.2,"HØJ",IF(H75&lt;0.35,"MIDDEL","OK"))))</f>
        <v>HØJ</v>
      </c>
      <c r="J75" s="12" t="n">
        <f aca="false">IF(G75="","",MAX(E75,CEILING(G75/(1-Forudsætninger!$B$4)*(1+Forudsætninger!$B$3),IF(G75/(1-Forudsætninger!$B$4)*(1+Forudsætninger!$B$3)&lt;50,1,IF(G75/(1-Forudsætninger!$B$4)*(1+Forudsætninger!$B$3)&lt;200,5,10)))))</f>
        <v>60</v>
      </c>
      <c r="K75" s="15" t="n">
        <f aca="false">IF(OR(J75="",E75=0),"",J75/E75-1)</f>
        <v>0.578947368421053</v>
      </c>
      <c r="L75" s="15" t="n">
        <f aca="false">IF(J75="","",(J75/(1+Forudsætninger!$B$3)-G75)/(J75/(1+Forudsætninger!$B$3)))</f>
        <v>0.473375</v>
      </c>
      <c r="M75" s="11" t="s">
        <v>266</v>
      </c>
      <c r="N75" s="11"/>
    </row>
    <row r="76" customFormat="false" ht="15" hidden="false" customHeight="false" outlineLevel="0" collapsed="false">
      <c r="A76" s="11" t="s">
        <v>24</v>
      </c>
      <c r="B76" s="11" t="s">
        <v>144</v>
      </c>
      <c r="C76" s="11" t="s">
        <v>267</v>
      </c>
      <c r="D76" s="11" t="s">
        <v>268</v>
      </c>
      <c r="E76" s="12" t="n">
        <v>96</v>
      </c>
      <c r="F76" s="13" t="n">
        <f aca="false">E76/(1+Forudsætninger!$B$3)</f>
        <v>76.8</v>
      </c>
      <c r="G76" s="14" t="n">
        <v>63.8</v>
      </c>
      <c r="H76" s="15" t="n">
        <f aca="false">IF(OR(G76="",F76=0),"",(F76-G76)/F76)</f>
        <v>0.169270833333333</v>
      </c>
      <c r="I76" s="11" t="str">
        <f aca="false">IF(G76="","UKENDT",IF(OR(E76=0,H76&lt;0),"KRITISK",IF(H76&lt;0.2,"HØJ",IF(H76&lt;0.35,"MIDDEL","OK"))))</f>
        <v>HØJ</v>
      </c>
      <c r="J76" s="12" t="n">
        <f aca="false">IF(G76="","",MAX(E76,CEILING(G76/(1-Forudsætninger!$B$4)*(1+Forudsætninger!$B$3),IF(G76/(1-Forudsætninger!$B$4)*(1+Forudsætninger!$B$3)&lt;50,1,IF(G76/(1-Forudsætninger!$B$4)*(1+Forudsætninger!$B$3)&lt;200,5,10)))))</f>
        <v>145</v>
      </c>
      <c r="K76" s="15" t="n">
        <f aca="false">IF(OR(J76="",E76=0),"",J76/E76-1)</f>
        <v>0.510416666666667</v>
      </c>
      <c r="L76" s="15" t="n">
        <f aca="false">IF(J76="","",(J76/(1+Forudsætninger!$B$3)-G76)/(J76/(1+Forudsætninger!$B$3)))</f>
        <v>0.45</v>
      </c>
      <c r="M76" s="11" t="s">
        <v>269</v>
      </c>
      <c r="N76" s="11"/>
    </row>
    <row r="77" customFormat="false" ht="15" hidden="false" customHeight="false" outlineLevel="0" collapsed="false">
      <c r="A77" s="11" t="s">
        <v>32</v>
      </c>
      <c r="B77" s="11" t="s">
        <v>75</v>
      </c>
      <c r="C77" s="11" t="s">
        <v>47</v>
      </c>
      <c r="D77" s="11" t="s">
        <v>270</v>
      </c>
      <c r="E77" s="12" t="n">
        <v>120</v>
      </c>
      <c r="F77" s="13" t="n">
        <f aca="false">E77/(1+Forudsætninger!$B$3)</f>
        <v>96</v>
      </c>
      <c r="G77" s="14" t="n">
        <v>79.2</v>
      </c>
      <c r="H77" s="15" t="n">
        <f aca="false">IF(OR(G77="",F77=0),"",(F77-G77)/F77)</f>
        <v>0.175</v>
      </c>
      <c r="I77" s="11" t="str">
        <f aca="false">IF(G77="","UKENDT",IF(OR(E77=0,H77&lt;0),"KRITISK",IF(H77&lt;0.2,"HØJ",IF(H77&lt;0.35,"MIDDEL","OK"))))</f>
        <v>HØJ</v>
      </c>
      <c r="J77" s="12" t="n">
        <f aca="false">IF(G77="","",MAX(E77,CEILING(G77/(1-Forudsætninger!$B$4)*(1+Forudsætninger!$B$3),IF(G77/(1-Forudsætninger!$B$4)*(1+Forudsætninger!$B$3)&lt;50,1,IF(G77/(1-Forudsætninger!$B$4)*(1+Forudsætninger!$B$3)&lt;200,5,10)))))</f>
        <v>180</v>
      </c>
      <c r="K77" s="15" t="n">
        <f aca="false">IF(OR(J77="",E77=0),"",J77/E77-1)</f>
        <v>0.5</v>
      </c>
      <c r="L77" s="15" t="n">
        <f aca="false">IF(J77="","",(J77/(1+Forudsætninger!$B$3)-G77)/(J77/(1+Forudsætninger!$B$3)))</f>
        <v>0.45</v>
      </c>
      <c r="M77" s="11" t="s">
        <v>271</v>
      </c>
      <c r="N77" s="11"/>
    </row>
    <row r="78" customFormat="false" ht="15" hidden="false" customHeight="false" outlineLevel="0" collapsed="false">
      <c r="A78" s="11" t="s">
        <v>30</v>
      </c>
      <c r="B78" s="11" t="s">
        <v>272</v>
      </c>
      <c r="C78" s="11" t="s">
        <v>120</v>
      </c>
      <c r="D78" s="11" t="s">
        <v>273</v>
      </c>
      <c r="E78" s="12" t="n">
        <v>15</v>
      </c>
      <c r="F78" s="13" t="n">
        <f aca="false">E78/(1+Forudsætninger!$B$3)</f>
        <v>12</v>
      </c>
      <c r="G78" s="14" t="n">
        <v>9.9</v>
      </c>
      <c r="H78" s="15" t="n">
        <f aca="false">IF(OR(G78="",F78=0),"",(F78-G78)/F78)</f>
        <v>0.175</v>
      </c>
      <c r="I78" s="11" t="str">
        <f aca="false">IF(G78="","UKENDT",IF(OR(E78=0,H78&lt;0),"KRITISK",IF(H78&lt;0.2,"HØJ",IF(H78&lt;0.35,"MIDDEL","OK"))))</f>
        <v>HØJ</v>
      </c>
      <c r="J78" s="12" t="n">
        <f aca="false">IF(G78="","",MAX(E78,CEILING(G78/(1-Forudsætninger!$B$4)*(1+Forudsætninger!$B$3),IF(G78/(1-Forudsætninger!$B$4)*(1+Forudsætninger!$B$3)&lt;50,1,IF(G78/(1-Forudsætninger!$B$4)*(1+Forudsætninger!$B$3)&lt;200,5,10)))))</f>
        <v>23</v>
      </c>
      <c r="K78" s="15" t="n">
        <f aca="false">IF(OR(J78="",E78=0),"",J78/E78-1)</f>
        <v>0.533333333333333</v>
      </c>
      <c r="L78" s="15" t="n">
        <f aca="false">IF(J78="","",(J78/(1+Forudsætninger!$B$3)-G78)/(J78/(1+Forudsætninger!$B$3)))</f>
        <v>0.46195652173913</v>
      </c>
      <c r="M78" s="11" t="s">
        <v>274</v>
      </c>
      <c r="N78" s="11"/>
    </row>
    <row r="79" customFormat="false" ht="15" hidden="false" customHeight="false" outlineLevel="0" collapsed="false">
      <c r="A79" s="11" t="s">
        <v>30</v>
      </c>
      <c r="B79" s="11" t="s">
        <v>272</v>
      </c>
      <c r="C79" s="11" t="s">
        <v>123</v>
      </c>
      <c r="D79" s="11" t="s">
        <v>275</v>
      </c>
      <c r="E79" s="12" t="n">
        <v>15</v>
      </c>
      <c r="F79" s="13" t="n">
        <f aca="false">E79/(1+Forudsætninger!$B$3)</f>
        <v>12</v>
      </c>
      <c r="G79" s="14" t="n">
        <v>9.9</v>
      </c>
      <c r="H79" s="15" t="n">
        <f aca="false">IF(OR(G79="",F79=0),"",(F79-G79)/F79)</f>
        <v>0.175</v>
      </c>
      <c r="I79" s="11" t="str">
        <f aca="false">IF(G79="","UKENDT",IF(OR(E79=0,H79&lt;0),"KRITISK",IF(H79&lt;0.2,"HØJ",IF(H79&lt;0.35,"MIDDEL","OK"))))</f>
        <v>HØJ</v>
      </c>
      <c r="J79" s="12" t="n">
        <f aca="false">IF(G79="","",MAX(E79,CEILING(G79/(1-Forudsætninger!$B$4)*(1+Forudsætninger!$B$3),IF(G79/(1-Forudsætninger!$B$4)*(1+Forudsætninger!$B$3)&lt;50,1,IF(G79/(1-Forudsætninger!$B$4)*(1+Forudsætninger!$B$3)&lt;200,5,10)))))</f>
        <v>23</v>
      </c>
      <c r="K79" s="15" t="n">
        <f aca="false">IF(OR(J79="",E79=0),"",J79/E79-1)</f>
        <v>0.533333333333333</v>
      </c>
      <c r="L79" s="15" t="n">
        <f aca="false">IF(J79="","",(J79/(1+Forudsætninger!$B$3)-G79)/(J79/(1+Forudsætninger!$B$3)))</f>
        <v>0.46195652173913</v>
      </c>
      <c r="M79" s="11" t="s">
        <v>276</v>
      </c>
      <c r="N79" s="11"/>
    </row>
    <row r="80" customFormat="false" ht="15" hidden="false" customHeight="false" outlineLevel="0" collapsed="false">
      <c r="A80" s="11" t="s">
        <v>30</v>
      </c>
      <c r="B80" s="11" t="s">
        <v>272</v>
      </c>
      <c r="C80" s="11" t="s">
        <v>126</v>
      </c>
      <c r="D80" s="11" t="s">
        <v>277</v>
      </c>
      <c r="E80" s="12" t="n">
        <v>15</v>
      </c>
      <c r="F80" s="13" t="n">
        <f aca="false">E80/(1+Forudsætninger!$B$3)</f>
        <v>12</v>
      </c>
      <c r="G80" s="14" t="n">
        <v>9.9</v>
      </c>
      <c r="H80" s="15" t="n">
        <f aca="false">IF(OR(G80="",F80=0),"",(F80-G80)/F80)</f>
        <v>0.175</v>
      </c>
      <c r="I80" s="11" t="str">
        <f aca="false">IF(G80="","UKENDT",IF(OR(E80=0,H80&lt;0),"KRITISK",IF(H80&lt;0.2,"HØJ",IF(H80&lt;0.35,"MIDDEL","OK"))))</f>
        <v>HØJ</v>
      </c>
      <c r="J80" s="12" t="n">
        <f aca="false">IF(G80="","",MAX(E80,CEILING(G80/(1-Forudsætninger!$B$4)*(1+Forudsætninger!$B$3),IF(G80/(1-Forudsætninger!$B$4)*(1+Forudsætninger!$B$3)&lt;50,1,IF(G80/(1-Forudsætninger!$B$4)*(1+Forudsætninger!$B$3)&lt;200,5,10)))))</f>
        <v>23</v>
      </c>
      <c r="K80" s="15" t="n">
        <f aca="false">IF(OR(J80="",E80=0),"",J80/E80-1)</f>
        <v>0.533333333333333</v>
      </c>
      <c r="L80" s="15" t="n">
        <f aca="false">IF(J80="","",(J80/(1+Forudsætninger!$B$3)-G80)/(J80/(1+Forudsætninger!$B$3)))</f>
        <v>0.46195652173913</v>
      </c>
      <c r="M80" s="11" t="s">
        <v>278</v>
      </c>
      <c r="N80" s="11"/>
    </row>
    <row r="81" customFormat="false" ht="15" hidden="false" customHeight="false" outlineLevel="0" collapsed="false">
      <c r="A81" s="11" t="s">
        <v>30</v>
      </c>
      <c r="B81" s="11" t="s">
        <v>272</v>
      </c>
      <c r="C81" s="11" t="s">
        <v>129</v>
      </c>
      <c r="D81" s="11" t="s">
        <v>279</v>
      </c>
      <c r="E81" s="12" t="n">
        <v>15</v>
      </c>
      <c r="F81" s="13" t="n">
        <f aca="false">E81/(1+Forudsætninger!$B$3)</f>
        <v>12</v>
      </c>
      <c r="G81" s="14" t="n">
        <v>9.9</v>
      </c>
      <c r="H81" s="15" t="n">
        <f aca="false">IF(OR(G81="",F81=0),"",(F81-G81)/F81)</f>
        <v>0.175</v>
      </c>
      <c r="I81" s="11" t="str">
        <f aca="false">IF(G81="","UKENDT",IF(OR(E81=0,H81&lt;0),"KRITISK",IF(H81&lt;0.2,"HØJ",IF(H81&lt;0.35,"MIDDEL","OK"))))</f>
        <v>HØJ</v>
      </c>
      <c r="J81" s="12" t="n">
        <f aca="false">IF(G81="","",MAX(E81,CEILING(G81/(1-Forudsætninger!$B$4)*(1+Forudsætninger!$B$3),IF(G81/(1-Forudsætninger!$B$4)*(1+Forudsætninger!$B$3)&lt;50,1,IF(G81/(1-Forudsætninger!$B$4)*(1+Forudsætninger!$B$3)&lt;200,5,10)))))</f>
        <v>23</v>
      </c>
      <c r="K81" s="15" t="n">
        <f aca="false">IF(OR(J81="",E81=0),"",J81/E81-1)</f>
        <v>0.533333333333333</v>
      </c>
      <c r="L81" s="15" t="n">
        <f aca="false">IF(J81="","",(J81/(1+Forudsætninger!$B$3)-G81)/(J81/(1+Forudsætninger!$B$3)))</f>
        <v>0.46195652173913</v>
      </c>
      <c r="M81" s="11" t="s">
        <v>280</v>
      </c>
      <c r="N81" s="11"/>
    </row>
    <row r="82" customFormat="false" ht="15" hidden="false" customHeight="false" outlineLevel="0" collapsed="false">
      <c r="A82" s="11" t="s">
        <v>30</v>
      </c>
      <c r="B82" s="11" t="s">
        <v>272</v>
      </c>
      <c r="C82" s="11" t="s">
        <v>132</v>
      </c>
      <c r="D82" s="11" t="s">
        <v>281</v>
      </c>
      <c r="E82" s="12" t="n">
        <v>15</v>
      </c>
      <c r="F82" s="13" t="n">
        <f aca="false">E82/(1+Forudsætninger!$B$3)</f>
        <v>12</v>
      </c>
      <c r="G82" s="14" t="n">
        <v>9.9</v>
      </c>
      <c r="H82" s="15" t="n">
        <f aca="false">IF(OR(G82="",F82=0),"",(F82-G82)/F82)</f>
        <v>0.175</v>
      </c>
      <c r="I82" s="11" t="str">
        <f aca="false">IF(G82="","UKENDT",IF(OR(E82=0,H82&lt;0),"KRITISK",IF(H82&lt;0.2,"HØJ",IF(H82&lt;0.35,"MIDDEL","OK"))))</f>
        <v>HØJ</v>
      </c>
      <c r="J82" s="12" t="n">
        <f aca="false">IF(G82="","",MAX(E82,CEILING(G82/(1-Forudsætninger!$B$4)*(1+Forudsætninger!$B$3),IF(G82/(1-Forudsætninger!$B$4)*(1+Forudsætninger!$B$3)&lt;50,1,IF(G82/(1-Forudsætninger!$B$4)*(1+Forudsætninger!$B$3)&lt;200,5,10)))))</f>
        <v>23</v>
      </c>
      <c r="K82" s="15" t="n">
        <f aca="false">IF(OR(J82="",E82=0),"",J82/E82-1)</f>
        <v>0.533333333333333</v>
      </c>
      <c r="L82" s="15" t="n">
        <f aca="false">IF(J82="","",(J82/(1+Forudsætninger!$B$3)-G82)/(J82/(1+Forudsætninger!$B$3)))</f>
        <v>0.46195652173913</v>
      </c>
      <c r="M82" s="11" t="s">
        <v>282</v>
      </c>
      <c r="N82" s="11"/>
    </row>
    <row r="83" customFormat="false" ht="15" hidden="false" customHeight="false" outlineLevel="0" collapsed="false">
      <c r="A83" s="11" t="s">
        <v>30</v>
      </c>
      <c r="B83" s="11" t="s">
        <v>272</v>
      </c>
      <c r="C83" s="11" t="s">
        <v>135</v>
      </c>
      <c r="D83" s="11" t="s">
        <v>283</v>
      </c>
      <c r="E83" s="12" t="n">
        <v>15</v>
      </c>
      <c r="F83" s="13" t="n">
        <f aca="false">E83/(1+Forudsætninger!$B$3)</f>
        <v>12</v>
      </c>
      <c r="G83" s="14" t="n">
        <v>9.9</v>
      </c>
      <c r="H83" s="15" t="n">
        <f aca="false">IF(OR(G83="",F83=0),"",(F83-G83)/F83)</f>
        <v>0.175</v>
      </c>
      <c r="I83" s="11" t="str">
        <f aca="false">IF(G83="","UKENDT",IF(OR(E83=0,H83&lt;0),"KRITISK",IF(H83&lt;0.2,"HØJ",IF(H83&lt;0.35,"MIDDEL","OK"))))</f>
        <v>HØJ</v>
      </c>
      <c r="J83" s="12" t="n">
        <f aca="false">IF(G83="","",MAX(E83,CEILING(G83/(1-Forudsætninger!$B$4)*(1+Forudsætninger!$B$3),IF(G83/(1-Forudsætninger!$B$4)*(1+Forudsætninger!$B$3)&lt;50,1,IF(G83/(1-Forudsætninger!$B$4)*(1+Forudsætninger!$B$3)&lt;200,5,10)))))</f>
        <v>23</v>
      </c>
      <c r="K83" s="15" t="n">
        <f aca="false">IF(OR(J83="",E83=0),"",J83/E83-1)</f>
        <v>0.533333333333333</v>
      </c>
      <c r="L83" s="15" t="n">
        <f aca="false">IF(J83="","",(J83/(1+Forudsætninger!$B$3)-G83)/(J83/(1+Forudsætninger!$B$3)))</f>
        <v>0.46195652173913</v>
      </c>
      <c r="M83" s="11" t="s">
        <v>284</v>
      </c>
      <c r="N83" s="11"/>
    </row>
    <row r="84" customFormat="false" ht="15" hidden="false" customHeight="false" outlineLevel="0" collapsed="false">
      <c r="A84" s="11" t="s">
        <v>30</v>
      </c>
      <c r="B84" s="11" t="s">
        <v>272</v>
      </c>
      <c r="C84" s="11" t="s">
        <v>138</v>
      </c>
      <c r="D84" s="11" t="s">
        <v>285</v>
      </c>
      <c r="E84" s="12" t="n">
        <v>15</v>
      </c>
      <c r="F84" s="13" t="n">
        <f aca="false">E84/(1+Forudsætninger!$B$3)</f>
        <v>12</v>
      </c>
      <c r="G84" s="14" t="n">
        <v>9.9</v>
      </c>
      <c r="H84" s="15" t="n">
        <f aca="false">IF(OR(G84="",F84=0),"",(F84-G84)/F84)</f>
        <v>0.175</v>
      </c>
      <c r="I84" s="11" t="str">
        <f aca="false">IF(G84="","UKENDT",IF(OR(E84=0,H84&lt;0),"KRITISK",IF(H84&lt;0.2,"HØJ",IF(H84&lt;0.35,"MIDDEL","OK"))))</f>
        <v>HØJ</v>
      </c>
      <c r="J84" s="12" t="n">
        <f aca="false">IF(G84="","",MAX(E84,CEILING(G84/(1-Forudsætninger!$B$4)*(1+Forudsætninger!$B$3),IF(G84/(1-Forudsætninger!$B$4)*(1+Forudsætninger!$B$3)&lt;50,1,IF(G84/(1-Forudsætninger!$B$4)*(1+Forudsætninger!$B$3)&lt;200,5,10)))))</f>
        <v>23</v>
      </c>
      <c r="K84" s="15" t="n">
        <f aca="false">IF(OR(J84="",E84=0),"",J84/E84-1)</f>
        <v>0.533333333333333</v>
      </c>
      <c r="L84" s="15" t="n">
        <f aca="false">IF(J84="","",(J84/(1+Forudsætninger!$B$3)-G84)/(J84/(1+Forudsætninger!$B$3)))</f>
        <v>0.46195652173913</v>
      </c>
      <c r="M84" s="11" t="s">
        <v>286</v>
      </c>
      <c r="N84" s="11"/>
    </row>
    <row r="85" customFormat="false" ht="15" hidden="false" customHeight="false" outlineLevel="0" collapsed="false">
      <c r="A85" s="11" t="s">
        <v>30</v>
      </c>
      <c r="B85" s="11" t="s">
        <v>272</v>
      </c>
      <c r="C85" s="11" t="s">
        <v>141</v>
      </c>
      <c r="D85" s="11" t="s">
        <v>287</v>
      </c>
      <c r="E85" s="12" t="n">
        <v>15</v>
      </c>
      <c r="F85" s="13" t="n">
        <f aca="false">E85/(1+Forudsætninger!$B$3)</f>
        <v>12</v>
      </c>
      <c r="G85" s="14" t="n">
        <v>9.9</v>
      </c>
      <c r="H85" s="15" t="n">
        <f aca="false">IF(OR(G85="",F85=0),"",(F85-G85)/F85)</f>
        <v>0.175</v>
      </c>
      <c r="I85" s="11" t="str">
        <f aca="false">IF(G85="","UKENDT",IF(OR(E85=0,H85&lt;0),"KRITISK",IF(H85&lt;0.2,"HØJ",IF(H85&lt;0.35,"MIDDEL","OK"))))</f>
        <v>HØJ</v>
      </c>
      <c r="J85" s="12" t="n">
        <f aca="false">IF(G85="","",MAX(E85,CEILING(G85/(1-Forudsætninger!$B$4)*(1+Forudsætninger!$B$3),IF(G85/(1-Forudsætninger!$B$4)*(1+Forudsætninger!$B$3)&lt;50,1,IF(G85/(1-Forudsætninger!$B$4)*(1+Forudsætninger!$B$3)&lt;200,5,10)))))</f>
        <v>23</v>
      </c>
      <c r="K85" s="15" t="n">
        <f aca="false">IF(OR(J85="",E85=0),"",J85/E85-1)</f>
        <v>0.533333333333333</v>
      </c>
      <c r="L85" s="15" t="n">
        <f aca="false">IF(J85="","",(J85/(1+Forudsætninger!$B$3)-G85)/(J85/(1+Forudsætninger!$B$3)))</f>
        <v>0.46195652173913</v>
      </c>
      <c r="M85" s="11" t="s">
        <v>288</v>
      </c>
      <c r="N85" s="11"/>
    </row>
    <row r="86" customFormat="false" ht="15" hidden="false" customHeight="false" outlineLevel="0" collapsed="false">
      <c r="A86" s="11" t="s">
        <v>28</v>
      </c>
      <c r="B86" s="11" t="s">
        <v>181</v>
      </c>
      <c r="C86" s="11" t="s">
        <v>89</v>
      </c>
      <c r="D86" s="11" t="s">
        <v>289</v>
      </c>
      <c r="E86" s="12" t="n">
        <v>50</v>
      </c>
      <c r="F86" s="13" t="n">
        <f aca="false">E86/(1+Forudsætninger!$B$3)</f>
        <v>40</v>
      </c>
      <c r="G86" s="14" t="n">
        <v>33</v>
      </c>
      <c r="H86" s="15" t="n">
        <f aca="false">IF(OR(G86="",F86=0),"",(F86-G86)/F86)</f>
        <v>0.175</v>
      </c>
      <c r="I86" s="11" t="str">
        <f aca="false">IF(G86="","UKENDT",IF(OR(E86=0,H86&lt;0),"KRITISK",IF(H86&lt;0.2,"HØJ",IF(H86&lt;0.35,"MIDDEL","OK"))))</f>
        <v>HØJ</v>
      </c>
      <c r="J86" s="12" t="n">
        <f aca="false">IF(G86="","",MAX(E86,CEILING(G86/(1-Forudsætninger!$B$4)*(1+Forudsætninger!$B$3),IF(G86/(1-Forudsætninger!$B$4)*(1+Forudsætninger!$B$3)&lt;50,1,IF(G86/(1-Forudsætninger!$B$4)*(1+Forudsætninger!$B$3)&lt;200,5,10)))))</f>
        <v>75</v>
      </c>
      <c r="K86" s="15" t="n">
        <f aca="false">IF(OR(J86="",E86=0),"",J86/E86-1)</f>
        <v>0.5</v>
      </c>
      <c r="L86" s="15" t="n">
        <f aca="false">IF(J86="","",(J86/(1+Forudsætninger!$B$3)-G86)/(J86/(1+Forudsætninger!$B$3)))</f>
        <v>0.45</v>
      </c>
      <c r="M86" s="11" t="s">
        <v>290</v>
      </c>
      <c r="N86" s="11"/>
    </row>
    <row r="87" customFormat="false" ht="15" hidden="false" customHeight="false" outlineLevel="0" collapsed="false">
      <c r="A87" s="11" t="s">
        <v>29</v>
      </c>
      <c r="B87" s="11" t="s">
        <v>291</v>
      </c>
      <c r="C87" s="11" t="s">
        <v>89</v>
      </c>
      <c r="D87" s="11" t="s">
        <v>292</v>
      </c>
      <c r="E87" s="12" t="n">
        <v>113</v>
      </c>
      <c r="F87" s="13" t="n">
        <f aca="false">E87/(1+Forudsætninger!$B$3)</f>
        <v>90.4</v>
      </c>
      <c r="G87" s="14" t="n">
        <v>73.7</v>
      </c>
      <c r="H87" s="15" t="n">
        <f aca="false">IF(OR(G87="",F87=0),"",(F87-G87)/F87)</f>
        <v>0.184734513274336</v>
      </c>
      <c r="I87" s="11" t="str">
        <f aca="false">IF(G87="","UKENDT",IF(OR(E87=0,H87&lt;0),"KRITISK",IF(H87&lt;0.2,"HØJ",IF(H87&lt;0.35,"MIDDEL","OK"))))</f>
        <v>HØJ</v>
      </c>
      <c r="J87" s="12" t="n">
        <f aca="false">IF(G87="","",MAX(E87,CEILING(G87/(1-Forudsætninger!$B$4)*(1+Forudsætninger!$B$3),IF(G87/(1-Forudsætninger!$B$4)*(1+Forudsætninger!$B$3)&lt;50,1,IF(G87/(1-Forudsætninger!$B$4)*(1+Forudsætninger!$B$3)&lt;200,5,10)))))</f>
        <v>170</v>
      </c>
      <c r="K87" s="15" t="n">
        <f aca="false">IF(OR(J87="",E87=0),"",J87/E87-1)</f>
        <v>0.504424778761062</v>
      </c>
      <c r="L87" s="15" t="n">
        <f aca="false">IF(J87="","",(J87/(1+Forudsætninger!$B$3)-G87)/(J87/(1+Forudsætninger!$B$3)))</f>
        <v>0.458088235294118</v>
      </c>
      <c r="M87" s="11" t="s">
        <v>293</v>
      </c>
      <c r="N87" s="11"/>
    </row>
    <row r="88" customFormat="false" ht="15" hidden="false" customHeight="false" outlineLevel="0" collapsed="false">
      <c r="A88" s="11" t="s">
        <v>32</v>
      </c>
      <c r="B88" s="11" t="s">
        <v>294</v>
      </c>
      <c r="C88" s="11" t="s">
        <v>295</v>
      </c>
      <c r="D88" s="11" t="s">
        <v>296</v>
      </c>
      <c r="E88" s="12" t="n">
        <v>135</v>
      </c>
      <c r="F88" s="13" t="n">
        <f aca="false">E88/(1+Forudsætninger!$B$3)</f>
        <v>108</v>
      </c>
      <c r="G88" s="14" t="n">
        <v>88</v>
      </c>
      <c r="H88" s="15" t="n">
        <f aca="false">IF(OR(G88="",F88=0),"",(F88-G88)/F88)</f>
        <v>0.185185185185185</v>
      </c>
      <c r="I88" s="11" t="str">
        <f aca="false">IF(G88="","UKENDT",IF(OR(E88=0,H88&lt;0),"KRITISK",IF(H88&lt;0.2,"HØJ",IF(H88&lt;0.35,"MIDDEL","OK"))))</f>
        <v>HØJ</v>
      </c>
      <c r="J88" s="12" t="n">
        <f aca="false">IF(G88="","",MAX(E88,CEILING(G88/(1-Forudsætninger!$B$4)*(1+Forudsætninger!$B$3),IF(G88/(1-Forudsætninger!$B$4)*(1+Forudsætninger!$B$3)&lt;50,1,IF(G88/(1-Forudsætninger!$B$4)*(1+Forudsætninger!$B$3)&lt;200,5,10)))))</f>
        <v>200</v>
      </c>
      <c r="K88" s="15" t="n">
        <f aca="false">IF(OR(J88="",E88=0),"",J88/E88-1)</f>
        <v>0.481481481481481</v>
      </c>
      <c r="L88" s="15" t="n">
        <f aca="false">IF(J88="","",(J88/(1+Forudsætninger!$B$3)-G88)/(J88/(1+Forudsætninger!$B$3)))</f>
        <v>0.45</v>
      </c>
      <c r="M88" s="11" t="s">
        <v>297</v>
      </c>
      <c r="N88" s="11"/>
    </row>
    <row r="89" customFormat="false" ht="15" hidden="false" customHeight="false" outlineLevel="0" collapsed="false">
      <c r="A89" s="11" t="s">
        <v>29</v>
      </c>
      <c r="B89" s="11" t="s">
        <v>298</v>
      </c>
      <c r="C89" s="11" t="s">
        <v>216</v>
      </c>
      <c r="D89" s="11" t="s">
        <v>299</v>
      </c>
      <c r="E89" s="12" t="n">
        <v>29</v>
      </c>
      <c r="F89" s="13" t="n">
        <f aca="false">E89/(1+Forudsætninger!$B$3)</f>
        <v>23.2</v>
      </c>
      <c r="G89" s="14" t="n">
        <v>18.7</v>
      </c>
      <c r="H89" s="15" t="n">
        <f aca="false">IF(OR(G89="",F89=0),"",(F89-G89)/F89)</f>
        <v>0.193965517241379</v>
      </c>
      <c r="I89" s="11" t="str">
        <f aca="false">IF(G89="","UKENDT",IF(OR(E89=0,H89&lt;0),"KRITISK",IF(H89&lt;0.2,"HØJ",IF(H89&lt;0.35,"MIDDEL","OK"))))</f>
        <v>HØJ</v>
      </c>
      <c r="J89" s="12" t="n">
        <f aca="false">IF(G89="","",MAX(E89,CEILING(G89/(1-Forudsætninger!$B$4)*(1+Forudsætninger!$B$3),IF(G89/(1-Forudsætninger!$B$4)*(1+Forudsætninger!$B$3)&lt;50,1,IF(G89/(1-Forudsætninger!$B$4)*(1+Forudsætninger!$B$3)&lt;200,5,10)))))</f>
        <v>43</v>
      </c>
      <c r="K89" s="15" t="n">
        <f aca="false">IF(OR(J89="",E89=0),"",J89/E89-1)</f>
        <v>0.482758620689655</v>
      </c>
      <c r="L89" s="15" t="n">
        <f aca="false">IF(J89="","",(J89/(1+Forudsætninger!$B$3)-G89)/(J89/(1+Forudsætninger!$B$3)))</f>
        <v>0.456395348837209</v>
      </c>
      <c r="M89" s="11" t="s">
        <v>300</v>
      </c>
      <c r="N89" s="11"/>
    </row>
    <row r="90" customFormat="false" ht="15" hidden="false" customHeight="false" outlineLevel="0" collapsed="false">
      <c r="A90" s="11" t="s">
        <v>30</v>
      </c>
      <c r="B90" s="11" t="s">
        <v>301</v>
      </c>
      <c r="C90" s="11" t="s">
        <v>120</v>
      </c>
      <c r="D90" s="11" t="s">
        <v>302</v>
      </c>
      <c r="E90" s="12" t="n">
        <v>495</v>
      </c>
      <c r="F90" s="13" t="n">
        <f aca="false">E90/(1+Forudsætninger!$B$3)</f>
        <v>396</v>
      </c>
      <c r="G90" s="14" t="n">
        <v>319</v>
      </c>
      <c r="H90" s="15" t="n">
        <f aca="false">IF(OR(G90="",F90=0),"",(F90-G90)/F90)</f>
        <v>0.194444444444444</v>
      </c>
      <c r="I90" s="11" t="str">
        <f aca="false">IF(G90="","UKENDT",IF(OR(E90=0,H90&lt;0),"KRITISK",IF(H90&lt;0.2,"HØJ",IF(H90&lt;0.35,"MIDDEL","OK"))))</f>
        <v>HØJ</v>
      </c>
      <c r="J90" s="12" t="n">
        <f aca="false">IF(G90="","",MAX(E90,CEILING(G90/(1-Forudsætninger!$B$4)*(1+Forudsætninger!$B$3),IF(G90/(1-Forudsætninger!$B$4)*(1+Forudsætninger!$B$3)&lt;50,1,IF(G90/(1-Forudsætninger!$B$4)*(1+Forudsætninger!$B$3)&lt;200,5,10)))))</f>
        <v>730</v>
      </c>
      <c r="K90" s="15" t="n">
        <f aca="false">IF(OR(J90="",E90=0),"",J90/E90-1)</f>
        <v>0.474747474747475</v>
      </c>
      <c r="L90" s="15" t="n">
        <f aca="false">IF(J90="","",(J90/(1+Forudsætninger!$B$3)-G90)/(J90/(1+Forudsætninger!$B$3)))</f>
        <v>0.453767123287671</v>
      </c>
      <c r="M90" s="11" t="s">
        <v>303</v>
      </c>
      <c r="N90" s="11"/>
    </row>
    <row r="91" customFormat="false" ht="15" hidden="false" customHeight="false" outlineLevel="0" collapsed="false">
      <c r="A91" s="11" t="s">
        <v>30</v>
      </c>
      <c r="B91" s="11" t="s">
        <v>301</v>
      </c>
      <c r="C91" s="11" t="s">
        <v>123</v>
      </c>
      <c r="D91" s="11" t="s">
        <v>304</v>
      </c>
      <c r="E91" s="12" t="n">
        <v>495</v>
      </c>
      <c r="F91" s="13" t="n">
        <f aca="false">E91/(1+Forudsætninger!$B$3)</f>
        <v>396</v>
      </c>
      <c r="G91" s="14" t="n">
        <v>319</v>
      </c>
      <c r="H91" s="15" t="n">
        <f aca="false">IF(OR(G91="",F91=0),"",(F91-G91)/F91)</f>
        <v>0.194444444444444</v>
      </c>
      <c r="I91" s="11" t="str">
        <f aca="false">IF(G91="","UKENDT",IF(OR(E91=0,H91&lt;0),"KRITISK",IF(H91&lt;0.2,"HØJ",IF(H91&lt;0.35,"MIDDEL","OK"))))</f>
        <v>HØJ</v>
      </c>
      <c r="J91" s="12" t="n">
        <f aca="false">IF(G91="","",MAX(E91,CEILING(G91/(1-Forudsætninger!$B$4)*(1+Forudsætninger!$B$3),IF(G91/(1-Forudsætninger!$B$4)*(1+Forudsætninger!$B$3)&lt;50,1,IF(G91/(1-Forudsætninger!$B$4)*(1+Forudsætninger!$B$3)&lt;200,5,10)))))</f>
        <v>730</v>
      </c>
      <c r="K91" s="15" t="n">
        <f aca="false">IF(OR(J91="",E91=0),"",J91/E91-1)</f>
        <v>0.474747474747475</v>
      </c>
      <c r="L91" s="15" t="n">
        <f aca="false">IF(J91="","",(J91/(1+Forudsætninger!$B$3)-G91)/(J91/(1+Forudsætninger!$B$3)))</f>
        <v>0.453767123287671</v>
      </c>
      <c r="M91" s="11" t="s">
        <v>305</v>
      </c>
      <c r="N91" s="11"/>
    </row>
    <row r="92" customFormat="false" ht="15" hidden="false" customHeight="false" outlineLevel="0" collapsed="false">
      <c r="A92" s="11" t="s">
        <v>33</v>
      </c>
      <c r="B92" s="11" t="s">
        <v>306</v>
      </c>
      <c r="C92" s="11" t="s">
        <v>192</v>
      </c>
      <c r="D92" s="11" t="s">
        <v>307</v>
      </c>
      <c r="E92" s="12" t="n">
        <v>53</v>
      </c>
      <c r="F92" s="13" t="n">
        <f aca="false">E92/(1+Forudsætninger!$B$3)</f>
        <v>42.4</v>
      </c>
      <c r="G92" s="14" t="n">
        <v>34.1</v>
      </c>
      <c r="H92" s="15" t="n">
        <f aca="false">IF(OR(G92="",F92=0),"",(F92-G92)/F92)</f>
        <v>0.195754716981132</v>
      </c>
      <c r="I92" s="11" t="str">
        <f aca="false">IF(G92="","UKENDT",IF(OR(E92=0,H92&lt;0),"KRITISK",IF(H92&lt;0.2,"HØJ",IF(H92&lt;0.35,"MIDDEL","OK"))))</f>
        <v>HØJ</v>
      </c>
      <c r="J92" s="12" t="n">
        <f aca="false">IF(G92="","",MAX(E92,CEILING(G92/(1-Forudsætninger!$B$4)*(1+Forudsætninger!$B$3),IF(G92/(1-Forudsætninger!$B$4)*(1+Forudsætninger!$B$3)&lt;50,1,IF(G92/(1-Forudsætninger!$B$4)*(1+Forudsætninger!$B$3)&lt;200,5,10)))))</f>
        <v>80</v>
      </c>
      <c r="K92" s="15" t="n">
        <f aca="false">IF(OR(J92="",E92=0),"",J92/E92-1)</f>
        <v>0.509433962264151</v>
      </c>
      <c r="L92" s="15" t="n">
        <f aca="false">IF(J92="","",(J92/(1+Forudsætninger!$B$3)-G92)/(J92/(1+Forudsætninger!$B$3)))</f>
        <v>0.4671875</v>
      </c>
      <c r="M92" s="11" t="s">
        <v>306</v>
      </c>
      <c r="N92" s="11"/>
    </row>
    <row r="93" customFormat="false" ht="15" hidden="false" customHeight="false" outlineLevel="0" collapsed="false">
      <c r="A93" s="11" t="s">
        <v>27</v>
      </c>
      <c r="B93" s="11" t="s">
        <v>264</v>
      </c>
      <c r="C93" s="11" t="s">
        <v>189</v>
      </c>
      <c r="D93" s="11" t="s">
        <v>308</v>
      </c>
      <c r="E93" s="12" t="n">
        <v>42</v>
      </c>
      <c r="F93" s="13" t="n">
        <f aca="false">E93/(1+Forudsætninger!$B$3)</f>
        <v>33.6</v>
      </c>
      <c r="G93" s="14" t="n">
        <v>26.862</v>
      </c>
      <c r="H93" s="15" t="n">
        <f aca="false">IF(OR(G93="",F93=0),"",(F93-G93)/F93)</f>
        <v>0.200535714285714</v>
      </c>
      <c r="I93" s="11" t="str">
        <f aca="false">IF(G93="","UKENDT",IF(OR(E93=0,H93&lt;0),"KRITISK",IF(H93&lt;0.2,"HØJ",IF(H93&lt;0.35,"MIDDEL","OK"))))</f>
        <v>MIDDEL</v>
      </c>
      <c r="J93" s="12" t="n">
        <f aca="false">IF(G93="","",MAX(E93,CEILING(G93/(1-Forudsætninger!$B$4)*(1+Forudsætninger!$B$3),IF(G93/(1-Forudsætninger!$B$4)*(1+Forudsætninger!$B$3)&lt;50,1,IF(G93/(1-Forudsætninger!$B$4)*(1+Forudsætninger!$B$3)&lt;200,5,10)))))</f>
        <v>65</v>
      </c>
      <c r="K93" s="15" t="n">
        <f aca="false">IF(OR(J93="",E93=0),"",J93/E93-1)</f>
        <v>0.547619047619048</v>
      </c>
      <c r="L93" s="15" t="n">
        <f aca="false">IF(J93="","",(J93/(1+Forudsætninger!$B$3)-G93)/(J93/(1+Forudsætninger!$B$3)))</f>
        <v>0.483423076923077</v>
      </c>
      <c r="M93" s="11" t="s">
        <v>309</v>
      </c>
      <c r="N93" s="11"/>
    </row>
    <row r="94" customFormat="false" ht="15" hidden="false" customHeight="false" outlineLevel="0" collapsed="false">
      <c r="A94" s="11" t="s">
        <v>26</v>
      </c>
      <c r="B94" s="11" t="s">
        <v>310</v>
      </c>
      <c r="C94" s="11" t="s">
        <v>311</v>
      </c>
      <c r="D94" s="11" t="s">
        <v>312</v>
      </c>
      <c r="E94" s="12" t="n">
        <v>105</v>
      </c>
      <c r="F94" s="13" t="n">
        <f aca="false">E94/(1+Forudsætninger!$B$3)</f>
        <v>84</v>
      </c>
      <c r="G94" s="14" t="n">
        <v>66</v>
      </c>
      <c r="H94" s="15" t="n">
        <f aca="false">IF(OR(G94="",F94=0),"",(F94-G94)/F94)</f>
        <v>0.214285714285714</v>
      </c>
      <c r="I94" s="11" t="str">
        <f aca="false">IF(G94="","UKENDT",IF(OR(E94=0,H94&lt;0),"KRITISK",IF(H94&lt;0.2,"HØJ",IF(H94&lt;0.35,"MIDDEL","OK"))))</f>
        <v>MIDDEL</v>
      </c>
      <c r="J94" s="12" t="n">
        <f aca="false">IF(G94="","",MAX(E94,CEILING(G94/(1-Forudsætninger!$B$4)*(1+Forudsætninger!$B$3),IF(G94/(1-Forudsætninger!$B$4)*(1+Forudsætninger!$B$3)&lt;50,1,IF(G94/(1-Forudsætninger!$B$4)*(1+Forudsætninger!$B$3)&lt;200,5,10)))))</f>
        <v>150</v>
      </c>
      <c r="K94" s="15" t="n">
        <f aca="false">IF(OR(J94="",E94=0),"",J94/E94-1)</f>
        <v>0.428571428571429</v>
      </c>
      <c r="L94" s="15" t="n">
        <f aca="false">IF(J94="","",(J94/(1+Forudsætninger!$B$3)-G94)/(J94/(1+Forudsætninger!$B$3)))</f>
        <v>0.45</v>
      </c>
      <c r="M94" s="11" t="s">
        <v>313</v>
      </c>
      <c r="N94" s="11"/>
    </row>
    <row r="95" customFormat="false" ht="15" hidden="false" customHeight="false" outlineLevel="0" collapsed="false">
      <c r="A95" s="11" t="s">
        <v>29</v>
      </c>
      <c r="B95" s="11" t="s">
        <v>314</v>
      </c>
      <c r="C95" s="11" t="s">
        <v>89</v>
      </c>
      <c r="D95" s="11" t="s">
        <v>315</v>
      </c>
      <c r="E95" s="12" t="n">
        <v>150</v>
      </c>
      <c r="F95" s="13" t="n">
        <f aca="false">E95/(1+Forudsætninger!$B$3)</f>
        <v>120</v>
      </c>
      <c r="G95" s="14" t="n">
        <v>94.204</v>
      </c>
      <c r="H95" s="15" t="n">
        <f aca="false">IF(OR(G95="",F95=0),"",(F95-G95)/F95)</f>
        <v>0.214966666666667</v>
      </c>
      <c r="I95" s="11" t="str">
        <f aca="false">IF(G95="","UKENDT",IF(OR(E95=0,H95&lt;0),"KRITISK",IF(H95&lt;0.2,"HØJ",IF(H95&lt;0.35,"MIDDEL","OK"))))</f>
        <v>MIDDEL</v>
      </c>
      <c r="J95" s="12" t="n">
        <f aca="false">IF(G95="","",MAX(E95,CEILING(G95/(1-Forudsætninger!$B$4)*(1+Forudsætninger!$B$3),IF(G95/(1-Forudsætninger!$B$4)*(1+Forudsætninger!$B$3)&lt;50,1,IF(G95/(1-Forudsætninger!$B$4)*(1+Forudsætninger!$B$3)&lt;200,5,10)))))</f>
        <v>220</v>
      </c>
      <c r="K95" s="15" t="n">
        <f aca="false">IF(OR(J95="",E95=0),"",J95/E95-1)</f>
        <v>0.466666666666667</v>
      </c>
      <c r="L95" s="15" t="n">
        <f aca="false">IF(J95="","",(J95/(1+Forudsætninger!$B$3)-G95)/(J95/(1+Forudsætninger!$B$3)))</f>
        <v>0.46475</v>
      </c>
      <c r="M95" s="11" t="s">
        <v>316</v>
      </c>
      <c r="N95" s="11"/>
    </row>
    <row r="96" customFormat="false" ht="15" hidden="false" customHeight="false" outlineLevel="0" collapsed="false">
      <c r="A96" s="11" t="s">
        <v>27</v>
      </c>
      <c r="B96" s="11" t="s">
        <v>317</v>
      </c>
      <c r="C96" s="11" t="s">
        <v>318</v>
      </c>
      <c r="D96" s="11" t="s">
        <v>319</v>
      </c>
      <c r="E96" s="12" t="n">
        <v>35</v>
      </c>
      <c r="F96" s="13" t="n">
        <f aca="false">E96/(1+Forudsætninger!$B$3)</f>
        <v>28</v>
      </c>
      <c r="G96" s="14" t="n">
        <v>21.89</v>
      </c>
      <c r="H96" s="15" t="n">
        <f aca="false">IF(OR(G96="",F96=0),"",(F96-G96)/F96)</f>
        <v>0.218214285714286</v>
      </c>
      <c r="I96" s="11" t="str">
        <f aca="false">IF(G96="","UKENDT",IF(OR(E96=0,H96&lt;0),"KRITISK",IF(H96&lt;0.2,"HØJ",IF(H96&lt;0.35,"MIDDEL","OK"))))</f>
        <v>MIDDEL</v>
      </c>
      <c r="J96" s="12" t="n">
        <f aca="false">IF(G96="","",MAX(E96,CEILING(G96/(1-Forudsætninger!$B$4)*(1+Forudsætninger!$B$3),IF(G96/(1-Forudsætninger!$B$4)*(1+Forudsætninger!$B$3)&lt;50,1,IF(G96/(1-Forudsætninger!$B$4)*(1+Forudsætninger!$B$3)&lt;200,5,10)))))</f>
        <v>50</v>
      </c>
      <c r="K96" s="15" t="n">
        <f aca="false">IF(OR(J96="",E96=0),"",J96/E96-1)</f>
        <v>0.428571428571429</v>
      </c>
      <c r="L96" s="15" t="n">
        <f aca="false">IF(J96="","",(J96/(1+Forudsætninger!$B$3)-G96)/(J96/(1+Forudsætninger!$B$3)))</f>
        <v>0.45275</v>
      </c>
      <c r="M96" s="11" t="s">
        <v>320</v>
      </c>
      <c r="N96" s="11"/>
    </row>
    <row r="97" customFormat="false" ht="15" hidden="false" customHeight="false" outlineLevel="0" collapsed="false">
      <c r="A97" s="11" t="s">
        <v>32</v>
      </c>
      <c r="B97" s="11" t="s">
        <v>321</v>
      </c>
      <c r="C97" s="11" t="s">
        <v>47</v>
      </c>
      <c r="D97" s="11" t="s">
        <v>322</v>
      </c>
      <c r="E97" s="12" t="n">
        <v>195</v>
      </c>
      <c r="F97" s="13" t="n">
        <f aca="false">E97/(1+Forudsætninger!$B$3)</f>
        <v>156</v>
      </c>
      <c r="G97" s="14" t="n">
        <v>118.8</v>
      </c>
      <c r="H97" s="15" t="n">
        <f aca="false">IF(OR(G97="",F97=0),"",(F97-G97)/F97)</f>
        <v>0.238461538461538</v>
      </c>
      <c r="I97" s="11" t="str">
        <f aca="false">IF(G97="","UKENDT",IF(OR(E97=0,H97&lt;0),"KRITISK",IF(H97&lt;0.2,"HØJ",IF(H97&lt;0.35,"MIDDEL","OK"))))</f>
        <v>MIDDEL</v>
      </c>
      <c r="J97" s="12" t="n">
        <f aca="false">IF(G97="","",MAX(E97,CEILING(G97/(1-Forudsætninger!$B$4)*(1+Forudsætninger!$B$3),IF(G97/(1-Forudsætninger!$B$4)*(1+Forudsætninger!$B$3)&lt;50,1,IF(G97/(1-Forudsætninger!$B$4)*(1+Forudsætninger!$B$3)&lt;200,5,10)))))</f>
        <v>270</v>
      </c>
      <c r="K97" s="15" t="n">
        <f aca="false">IF(OR(J97="",E97=0),"",J97/E97-1)</f>
        <v>0.384615384615385</v>
      </c>
      <c r="L97" s="15" t="n">
        <f aca="false">IF(J97="","",(J97/(1+Forudsætninger!$B$3)-G97)/(J97/(1+Forudsætninger!$B$3)))</f>
        <v>0.45</v>
      </c>
      <c r="M97" s="11" t="s">
        <v>323</v>
      </c>
      <c r="N97" s="11"/>
    </row>
    <row r="98" customFormat="false" ht="15" hidden="false" customHeight="false" outlineLevel="0" collapsed="false">
      <c r="A98" s="11" t="s">
        <v>27</v>
      </c>
      <c r="B98" s="11" t="s">
        <v>324</v>
      </c>
      <c r="C98" s="11" t="s">
        <v>165</v>
      </c>
      <c r="D98" s="11" t="s">
        <v>325</v>
      </c>
      <c r="E98" s="12" t="n">
        <v>60</v>
      </c>
      <c r="F98" s="13" t="n">
        <f aca="false">E98/(1+Forudsætninger!$B$3)</f>
        <v>48</v>
      </c>
      <c r="G98" s="14" t="n">
        <v>36.52</v>
      </c>
      <c r="H98" s="15" t="n">
        <f aca="false">IF(OR(G98="",F98=0),"",(F98-G98)/F98)</f>
        <v>0.239166666666667</v>
      </c>
      <c r="I98" s="11" t="str">
        <f aca="false">IF(G98="","UKENDT",IF(OR(E98=0,H98&lt;0),"KRITISK",IF(H98&lt;0.2,"HØJ",IF(H98&lt;0.35,"MIDDEL","OK"))))</f>
        <v>MIDDEL</v>
      </c>
      <c r="J98" s="12" t="n">
        <f aca="false">IF(G98="","",MAX(E98,CEILING(G98/(1-Forudsætninger!$B$4)*(1+Forudsætninger!$B$3),IF(G98/(1-Forudsætninger!$B$4)*(1+Forudsætninger!$B$3)&lt;50,1,IF(G98/(1-Forudsætninger!$B$4)*(1+Forudsætninger!$B$3)&lt;200,5,10)))))</f>
        <v>85</v>
      </c>
      <c r="K98" s="15" t="n">
        <f aca="false">IF(OR(J98="",E98=0),"",J98/E98-1)</f>
        <v>0.416666666666667</v>
      </c>
      <c r="L98" s="15" t="n">
        <f aca="false">IF(J98="","",(J98/(1+Forudsætninger!$B$3)-G98)/(J98/(1+Forudsætninger!$B$3)))</f>
        <v>0.462941176470588</v>
      </c>
      <c r="M98" s="11" t="s">
        <v>326</v>
      </c>
      <c r="N98" s="11"/>
    </row>
    <row r="99" customFormat="false" ht="15" hidden="false" customHeight="false" outlineLevel="0" collapsed="false">
      <c r="A99" s="11" t="s">
        <v>29</v>
      </c>
      <c r="B99" s="11" t="s">
        <v>327</v>
      </c>
      <c r="C99" s="11" t="s">
        <v>173</v>
      </c>
      <c r="D99" s="11" t="s">
        <v>328</v>
      </c>
      <c r="E99" s="12" t="n">
        <v>38</v>
      </c>
      <c r="F99" s="13" t="n">
        <f aca="false">E99/(1+Forudsætninger!$B$3)</f>
        <v>30.4</v>
      </c>
      <c r="G99" s="14" t="n">
        <v>23.1</v>
      </c>
      <c r="H99" s="15" t="n">
        <f aca="false">IF(OR(G99="",F99=0),"",(F99-G99)/F99)</f>
        <v>0.240131578947368</v>
      </c>
      <c r="I99" s="11" t="str">
        <f aca="false">IF(G99="","UKENDT",IF(OR(E99=0,H99&lt;0),"KRITISK",IF(H99&lt;0.2,"HØJ",IF(H99&lt;0.35,"MIDDEL","OK"))))</f>
        <v>MIDDEL</v>
      </c>
      <c r="J99" s="12" t="n">
        <f aca="false">IF(G99="","",MAX(E99,CEILING(G99/(1-Forudsætninger!$B$4)*(1+Forudsætninger!$B$3),IF(G99/(1-Forudsætninger!$B$4)*(1+Forudsætninger!$B$3)&lt;50,1,IF(G99/(1-Forudsætninger!$B$4)*(1+Forudsætninger!$B$3)&lt;200,5,10)))))</f>
        <v>55</v>
      </c>
      <c r="K99" s="15" t="n">
        <f aca="false">IF(OR(J99="",E99=0),"",J99/E99-1)</f>
        <v>0.447368421052632</v>
      </c>
      <c r="L99" s="15" t="n">
        <f aca="false">IF(J99="","",(J99/(1+Forudsætninger!$B$3)-G99)/(J99/(1+Forudsætninger!$B$3)))</f>
        <v>0.475</v>
      </c>
      <c r="M99" s="11" t="s">
        <v>329</v>
      </c>
      <c r="N99" s="11"/>
    </row>
    <row r="100" customFormat="false" ht="15" hidden="false" customHeight="false" outlineLevel="0" collapsed="false">
      <c r="A100" s="11" t="s">
        <v>30</v>
      </c>
      <c r="B100" s="11" t="s">
        <v>301</v>
      </c>
      <c r="C100" s="11" t="s">
        <v>126</v>
      </c>
      <c r="D100" s="11" t="s">
        <v>330</v>
      </c>
      <c r="E100" s="12" t="n">
        <v>561</v>
      </c>
      <c r="F100" s="13" t="n">
        <f aca="false">E100/(1+Forudsætninger!$B$3)</f>
        <v>448.8</v>
      </c>
      <c r="G100" s="14" t="n">
        <v>341</v>
      </c>
      <c r="H100" s="15" t="n">
        <f aca="false">IF(OR(G100="",F100=0),"",(F100-G100)/F100)</f>
        <v>0.240196078431373</v>
      </c>
      <c r="I100" s="11" t="str">
        <f aca="false">IF(G100="","UKENDT",IF(OR(E100=0,H100&lt;0),"KRITISK",IF(H100&lt;0.2,"HØJ",IF(H100&lt;0.35,"MIDDEL","OK"))))</f>
        <v>MIDDEL</v>
      </c>
      <c r="J100" s="12" t="n">
        <f aca="false">IF(G100="","",MAX(E100,CEILING(G100/(1-Forudsætninger!$B$4)*(1+Forudsætninger!$B$3),IF(G100/(1-Forudsætninger!$B$4)*(1+Forudsætninger!$B$3)&lt;50,1,IF(G100/(1-Forudsætninger!$B$4)*(1+Forudsætninger!$B$3)&lt;200,5,10)))))</f>
        <v>780</v>
      </c>
      <c r="K100" s="15" t="n">
        <f aca="false">IF(OR(J100="",E100=0),"",J100/E100-1)</f>
        <v>0.390374331550802</v>
      </c>
      <c r="L100" s="15" t="n">
        <f aca="false">IF(J100="","",(J100/(1+Forudsætninger!$B$3)-G100)/(J100/(1+Forudsætninger!$B$3)))</f>
        <v>0.453525641025641</v>
      </c>
      <c r="M100" s="11" t="s">
        <v>331</v>
      </c>
      <c r="N100" s="11"/>
    </row>
    <row r="101" customFormat="false" ht="15" hidden="false" customHeight="false" outlineLevel="0" collapsed="false">
      <c r="A101" s="11" t="s">
        <v>30</v>
      </c>
      <c r="B101" s="11" t="s">
        <v>301</v>
      </c>
      <c r="C101" s="11" t="s">
        <v>129</v>
      </c>
      <c r="D101" s="11" t="s">
        <v>332</v>
      </c>
      <c r="E101" s="12" t="n">
        <v>561</v>
      </c>
      <c r="F101" s="13" t="n">
        <f aca="false">E101/(1+Forudsætninger!$B$3)</f>
        <v>448.8</v>
      </c>
      <c r="G101" s="14" t="n">
        <v>341</v>
      </c>
      <c r="H101" s="15" t="n">
        <f aca="false">IF(OR(G101="",F101=0),"",(F101-G101)/F101)</f>
        <v>0.240196078431373</v>
      </c>
      <c r="I101" s="11" t="str">
        <f aca="false">IF(G101="","UKENDT",IF(OR(E101=0,H101&lt;0),"KRITISK",IF(H101&lt;0.2,"HØJ",IF(H101&lt;0.35,"MIDDEL","OK"))))</f>
        <v>MIDDEL</v>
      </c>
      <c r="J101" s="12" t="n">
        <f aca="false">IF(G101="","",MAX(E101,CEILING(G101/(1-Forudsætninger!$B$4)*(1+Forudsætninger!$B$3),IF(G101/(1-Forudsætninger!$B$4)*(1+Forudsætninger!$B$3)&lt;50,1,IF(G101/(1-Forudsætninger!$B$4)*(1+Forudsætninger!$B$3)&lt;200,5,10)))))</f>
        <v>780</v>
      </c>
      <c r="K101" s="15" t="n">
        <f aca="false">IF(OR(J101="",E101=0),"",J101/E101-1)</f>
        <v>0.390374331550802</v>
      </c>
      <c r="L101" s="15" t="n">
        <f aca="false">IF(J101="","",(J101/(1+Forudsætninger!$B$3)-G101)/(J101/(1+Forudsætninger!$B$3)))</f>
        <v>0.453525641025641</v>
      </c>
      <c r="M101" s="11" t="s">
        <v>333</v>
      </c>
      <c r="N101" s="11"/>
    </row>
    <row r="102" customFormat="false" ht="15" hidden="false" customHeight="false" outlineLevel="0" collapsed="false">
      <c r="A102" s="11" t="s">
        <v>30</v>
      </c>
      <c r="B102" s="11" t="s">
        <v>301</v>
      </c>
      <c r="C102" s="11" t="s">
        <v>132</v>
      </c>
      <c r="D102" s="11" t="s">
        <v>334</v>
      </c>
      <c r="E102" s="12" t="n">
        <v>561</v>
      </c>
      <c r="F102" s="13" t="n">
        <f aca="false">E102/(1+Forudsætninger!$B$3)</f>
        <v>448.8</v>
      </c>
      <c r="G102" s="14" t="n">
        <v>341</v>
      </c>
      <c r="H102" s="15" t="n">
        <f aca="false">IF(OR(G102="",F102=0),"",(F102-G102)/F102)</f>
        <v>0.240196078431373</v>
      </c>
      <c r="I102" s="11" t="str">
        <f aca="false">IF(G102="","UKENDT",IF(OR(E102=0,H102&lt;0),"KRITISK",IF(H102&lt;0.2,"HØJ",IF(H102&lt;0.35,"MIDDEL","OK"))))</f>
        <v>MIDDEL</v>
      </c>
      <c r="J102" s="12" t="n">
        <f aca="false">IF(G102="","",MAX(E102,CEILING(G102/(1-Forudsætninger!$B$4)*(1+Forudsætninger!$B$3),IF(G102/(1-Forudsætninger!$B$4)*(1+Forudsætninger!$B$3)&lt;50,1,IF(G102/(1-Forudsætninger!$B$4)*(1+Forudsætninger!$B$3)&lt;200,5,10)))))</f>
        <v>780</v>
      </c>
      <c r="K102" s="15" t="n">
        <f aca="false">IF(OR(J102="",E102=0),"",J102/E102-1)</f>
        <v>0.390374331550802</v>
      </c>
      <c r="L102" s="15" t="n">
        <f aca="false">IF(J102="","",(J102/(1+Forudsætninger!$B$3)-G102)/(J102/(1+Forudsætninger!$B$3)))</f>
        <v>0.453525641025641</v>
      </c>
      <c r="M102" s="11" t="s">
        <v>335</v>
      </c>
      <c r="N102" s="11"/>
    </row>
    <row r="103" customFormat="false" ht="15" hidden="false" customHeight="false" outlineLevel="0" collapsed="false">
      <c r="A103" s="11" t="s">
        <v>30</v>
      </c>
      <c r="B103" s="11" t="s">
        <v>301</v>
      </c>
      <c r="C103" s="11" t="s">
        <v>135</v>
      </c>
      <c r="D103" s="11" t="s">
        <v>336</v>
      </c>
      <c r="E103" s="12" t="n">
        <v>561</v>
      </c>
      <c r="F103" s="13" t="n">
        <f aca="false">E103/(1+Forudsætninger!$B$3)</f>
        <v>448.8</v>
      </c>
      <c r="G103" s="14" t="n">
        <v>341</v>
      </c>
      <c r="H103" s="15" t="n">
        <f aca="false">IF(OR(G103="",F103=0),"",(F103-G103)/F103)</f>
        <v>0.240196078431373</v>
      </c>
      <c r="I103" s="11" t="str">
        <f aca="false">IF(G103="","UKENDT",IF(OR(E103=0,H103&lt;0),"KRITISK",IF(H103&lt;0.2,"HØJ",IF(H103&lt;0.35,"MIDDEL","OK"))))</f>
        <v>MIDDEL</v>
      </c>
      <c r="J103" s="12" t="n">
        <f aca="false">IF(G103="","",MAX(E103,CEILING(G103/(1-Forudsætninger!$B$4)*(1+Forudsætninger!$B$3),IF(G103/(1-Forudsætninger!$B$4)*(1+Forudsætninger!$B$3)&lt;50,1,IF(G103/(1-Forudsætninger!$B$4)*(1+Forudsætninger!$B$3)&lt;200,5,10)))))</f>
        <v>780</v>
      </c>
      <c r="K103" s="15" t="n">
        <f aca="false">IF(OR(J103="",E103=0),"",J103/E103-1)</f>
        <v>0.390374331550802</v>
      </c>
      <c r="L103" s="15" t="n">
        <f aca="false">IF(J103="","",(J103/(1+Forudsætninger!$B$3)-G103)/(J103/(1+Forudsætninger!$B$3)))</f>
        <v>0.453525641025641</v>
      </c>
      <c r="M103" s="11" t="s">
        <v>337</v>
      </c>
      <c r="N103" s="11"/>
    </row>
    <row r="104" customFormat="false" ht="15" hidden="false" customHeight="false" outlineLevel="0" collapsed="false">
      <c r="A104" s="11" t="s">
        <v>30</v>
      </c>
      <c r="B104" s="11" t="s">
        <v>301</v>
      </c>
      <c r="C104" s="11" t="s">
        <v>138</v>
      </c>
      <c r="D104" s="11" t="s">
        <v>338</v>
      </c>
      <c r="E104" s="12" t="n">
        <v>561</v>
      </c>
      <c r="F104" s="13" t="n">
        <f aca="false">E104/(1+Forudsætninger!$B$3)</f>
        <v>448.8</v>
      </c>
      <c r="G104" s="14" t="n">
        <v>341</v>
      </c>
      <c r="H104" s="15" t="n">
        <f aca="false">IF(OR(G104="",F104=0),"",(F104-G104)/F104)</f>
        <v>0.240196078431373</v>
      </c>
      <c r="I104" s="11" t="str">
        <f aca="false">IF(G104="","UKENDT",IF(OR(E104=0,H104&lt;0),"KRITISK",IF(H104&lt;0.2,"HØJ",IF(H104&lt;0.35,"MIDDEL","OK"))))</f>
        <v>MIDDEL</v>
      </c>
      <c r="J104" s="12" t="n">
        <f aca="false">IF(G104="","",MAX(E104,CEILING(G104/(1-Forudsætninger!$B$4)*(1+Forudsætninger!$B$3),IF(G104/(1-Forudsætninger!$B$4)*(1+Forudsætninger!$B$3)&lt;50,1,IF(G104/(1-Forudsætninger!$B$4)*(1+Forudsætninger!$B$3)&lt;200,5,10)))))</f>
        <v>780</v>
      </c>
      <c r="K104" s="15" t="n">
        <f aca="false">IF(OR(J104="",E104=0),"",J104/E104-1)</f>
        <v>0.390374331550802</v>
      </c>
      <c r="L104" s="15" t="n">
        <f aca="false">IF(J104="","",(J104/(1+Forudsætninger!$B$3)-G104)/(J104/(1+Forudsætninger!$B$3)))</f>
        <v>0.453525641025641</v>
      </c>
      <c r="M104" s="11" t="s">
        <v>339</v>
      </c>
      <c r="N104" s="11"/>
    </row>
    <row r="105" customFormat="false" ht="15" hidden="false" customHeight="false" outlineLevel="0" collapsed="false">
      <c r="A105" s="11" t="s">
        <v>30</v>
      </c>
      <c r="B105" s="11" t="s">
        <v>301</v>
      </c>
      <c r="C105" s="11" t="s">
        <v>141</v>
      </c>
      <c r="D105" s="11" t="s">
        <v>340</v>
      </c>
      <c r="E105" s="12" t="n">
        <v>561</v>
      </c>
      <c r="F105" s="13" t="n">
        <f aca="false">E105/(1+Forudsætninger!$B$3)</f>
        <v>448.8</v>
      </c>
      <c r="G105" s="14" t="n">
        <v>341</v>
      </c>
      <c r="H105" s="15" t="n">
        <f aca="false">IF(OR(G105="",F105=0),"",(F105-G105)/F105)</f>
        <v>0.240196078431373</v>
      </c>
      <c r="I105" s="11" t="str">
        <f aca="false">IF(G105="","UKENDT",IF(OR(E105=0,H105&lt;0),"KRITISK",IF(H105&lt;0.2,"HØJ",IF(H105&lt;0.35,"MIDDEL","OK"))))</f>
        <v>MIDDEL</v>
      </c>
      <c r="J105" s="12" t="n">
        <f aca="false">IF(G105="","",MAX(E105,CEILING(G105/(1-Forudsætninger!$B$4)*(1+Forudsætninger!$B$3),IF(G105/(1-Forudsætninger!$B$4)*(1+Forudsætninger!$B$3)&lt;50,1,IF(G105/(1-Forudsætninger!$B$4)*(1+Forudsætninger!$B$3)&lt;200,5,10)))))</f>
        <v>780</v>
      </c>
      <c r="K105" s="15" t="n">
        <f aca="false">IF(OR(J105="",E105=0),"",J105/E105-1)</f>
        <v>0.390374331550802</v>
      </c>
      <c r="L105" s="15" t="n">
        <f aca="false">IF(J105="","",(J105/(1+Forudsætninger!$B$3)-G105)/(J105/(1+Forudsætninger!$B$3)))</f>
        <v>0.453525641025641</v>
      </c>
      <c r="M105" s="11" t="s">
        <v>341</v>
      </c>
      <c r="N105" s="11"/>
    </row>
    <row r="106" customFormat="false" ht="15" hidden="false" customHeight="false" outlineLevel="0" collapsed="false">
      <c r="A106" s="11" t="s">
        <v>29</v>
      </c>
      <c r="B106" s="11" t="s">
        <v>342</v>
      </c>
      <c r="C106" s="11" t="s">
        <v>173</v>
      </c>
      <c r="D106" s="11" t="s">
        <v>343</v>
      </c>
      <c r="E106" s="12" t="n">
        <v>20</v>
      </c>
      <c r="F106" s="13" t="n">
        <f aca="false">E106/(1+Forudsætninger!$B$3)</f>
        <v>16</v>
      </c>
      <c r="G106" s="14" t="n">
        <v>12.1</v>
      </c>
      <c r="H106" s="15" t="n">
        <f aca="false">IF(OR(G106="",F106=0),"",(F106-G106)/F106)</f>
        <v>0.24375</v>
      </c>
      <c r="I106" s="11" t="str">
        <f aca="false">IF(G106="","UKENDT",IF(OR(E106=0,H106&lt;0),"KRITISK",IF(H106&lt;0.2,"HØJ",IF(H106&lt;0.35,"MIDDEL","OK"))))</f>
        <v>MIDDEL</v>
      </c>
      <c r="J106" s="12" t="n">
        <f aca="false">IF(G106="","",MAX(E106,CEILING(G106/(1-Forudsætninger!$B$4)*(1+Forudsætninger!$B$3),IF(G106/(1-Forudsætninger!$B$4)*(1+Forudsætninger!$B$3)&lt;50,1,IF(G106/(1-Forudsætninger!$B$4)*(1+Forudsætninger!$B$3)&lt;200,5,10)))))</f>
        <v>28</v>
      </c>
      <c r="K106" s="15" t="n">
        <f aca="false">IF(OR(J106="",E106=0),"",J106/E106-1)</f>
        <v>0.4</v>
      </c>
      <c r="L106" s="15" t="n">
        <f aca="false">IF(J106="","",(J106/(1+Forudsætninger!$B$3)-G106)/(J106/(1+Forudsætninger!$B$3)))</f>
        <v>0.459821428571429</v>
      </c>
      <c r="M106" s="11" t="s">
        <v>344</v>
      </c>
      <c r="N106" s="11"/>
    </row>
    <row r="107" customFormat="false" ht="15" hidden="false" customHeight="false" outlineLevel="0" collapsed="false">
      <c r="A107" s="11" t="s">
        <v>26</v>
      </c>
      <c r="B107" s="11" t="s">
        <v>345</v>
      </c>
      <c r="C107" s="11" t="s">
        <v>173</v>
      </c>
      <c r="D107" s="11" t="s">
        <v>346</v>
      </c>
      <c r="E107" s="12" t="n">
        <v>20</v>
      </c>
      <c r="F107" s="13" t="n">
        <f aca="false">E107/(1+Forudsætninger!$B$3)</f>
        <v>16</v>
      </c>
      <c r="G107" s="14" t="n">
        <v>12.1</v>
      </c>
      <c r="H107" s="15" t="n">
        <f aca="false">IF(OR(G107="",F107=0),"",(F107-G107)/F107)</f>
        <v>0.24375</v>
      </c>
      <c r="I107" s="11" t="str">
        <f aca="false">IF(G107="","UKENDT",IF(OR(E107=0,H107&lt;0),"KRITISK",IF(H107&lt;0.2,"HØJ",IF(H107&lt;0.35,"MIDDEL","OK"))))</f>
        <v>MIDDEL</v>
      </c>
      <c r="J107" s="12" t="n">
        <f aca="false">IF(G107="","",MAX(E107,CEILING(G107/(1-Forudsætninger!$B$4)*(1+Forudsætninger!$B$3),IF(G107/(1-Forudsætninger!$B$4)*(1+Forudsætninger!$B$3)&lt;50,1,IF(G107/(1-Forudsætninger!$B$4)*(1+Forudsætninger!$B$3)&lt;200,5,10)))))</f>
        <v>28</v>
      </c>
      <c r="K107" s="15" t="n">
        <f aca="false">IF(OR(J107="",E107=0),"",J107/E107-1)</f>
        <v>0.4</v>
      </c>
      <c r="L107" s="15" t="n">
        <f aca="false">IF(J107="","",(J107/(1+Forudsætninger!$B$3)-G107)/(J107/(1+Forudsætninger!$B$3)))</f>
        <v>0.459821428571429</v>
      </c>
      <c r="M107" s="11" t="s">
        <v>347</v>
      </c>
      <c r="N107" s="11"/>
    </row>
    <row r="108" customFormat="false" ht="15" hidden="false" customHeight="false" outlineLevel="0" collapsed="false">
      <c r="A108" s="11" t="s">
        <v>32</v>
      </c>
      <c r="B108" s="11" t="s">
        <v>212</v>
      </c>
      <c r="C108" s="11" t="s">
        <v>47</v>
      </c>
      <c r="D108" s="11" t="s">
        <v>348</v>
      </c>
      <c r="E108" s="12" t="n">
        <v>51</v>
      </c>
      <c r="F108" s="13" t="n">
        <f aca="false">E108/(1+Forudsætninger!$B$3)</f>
        <v>40.8</v>
      </c>
      <c r="G108" s="14" t="n">
        <v>30.8</v>
      </c>
      <c r="H108" s="15" t="n">
        <f aca="false">IF(OR(G108="",F108=0),"",(F108-G108)/F108)</f>
        <v>0.245098039215686</v>
      </c>
      <c r="I108" s="11" t="str">
        <f aca="false">IF(G108="","UKENDT",IF(OR(E108=0,H108&lt;0),"KRITISK",IF(H108&lt;0.2,"HØJ",IF(H108&lt;0.35,"MIDDEL","OK"))))</f>
        <v>MIDDEL</v>
      </c>
      <c r="J108" s="12" t="n">
        <f aca="false">IF(G108="","",MAX(E108,CEILING(G108/(1-Forudsætninger!$B$4)*(1+Forudsætninger!$B$3),IF(G108/(1-Forudsætninger!$B$4)*(1+Forudsætninger!$B$3)&lt;50,1,IF(G108/(1-Forudsætninger!$B$4)*(1+Forudsætninger!$B$3)&lt;200,5,10)))))</f>
        <v>70</v>
      </c>
      <c r="K108" s="15" t="n">
        <f aca="false">IF(OR(J108="",E108=0),"",J108/E108-1)</f>
        <v>0.372549019607843</v>
      </c>
      <c r="L108" s="15" t="n">
        <f aca="false">IF(J108="","",(J108/(1+Forudsætninger!$B$3)-G108)/(J108/(1+Forudsætninger!$B$3)))</f>
        <v>0.45</v>
      </c>
      <c r="M108" s="11" t="s">
        <v>349</v>
      </c>
      <c r="N108" s="11"/>
    </row>
    <row r="109" customFormat="false" ht="15" hidden="false" customHeight="false" outlineLevel="0" collapsed="false">
      <c r="A109" s="11" t="s">
        <v>32</v>
      </c>
      <c r="B109" s="11" t="s">
        <v>212</v>
      </c>
      <c r="C109" s="11" t="s">
        <v>151</v>
      </c>
      <c r="D109" s="11" t="s">
        <v>350</v>
      </c>
      <c r="E109" s="12" t="n">
        <v>42</v>
      </c>
      <c r="F109" s="13" t="n">
        <f aca="false">E109/(1+Forudsætninger!$B$3)</f>
        <v>33.6</v>
      </c>
      <c r="G109" s="14" t="n">
        <v>25.3</v>
      </c>
      <c r="H109" s="15" t="n">
        <f aca="false">IF(OR(G109="",F109=0),"",(F109-G109)/F109)</f>
        <v>0.24702380952381</v>
      </c>
      <c r="I109" s="11" t="str">
        <f aca="false">IF(G109="","UKENDT",IF(OR(E109=0,H109&lt;0),"KRITISK",IF(H109&lt;0.2,"HØJ",IF(H109&lt;0.35,"MIDDEL","OK"))))</f>
        <v>MIDDEL</v>
      </c>
      <c r="J109" s="12" t="n">
        <f aca="false">IF(G109="","",MAX(E109,CEILING(G109/(1-Forudsætninger!$B$4)*(1+Forudsætninger!$B$3),IF(G109/(1-Forudsætninger!$B$4)*(1+Forudsætninger!$B$3)&lt;50,1,IF(G109/(1-Forudsætninger!$B$4)*(1+Forudsætninger!$B$3)&lt;200,5,10)))))</f>
        <v>60</v>
      </c>
      <c r="K109" s="15" t="n">
        <f aca="false">IF(OR(J109="",E109=0),"",J109/E109-1)</f>
        <v>0.428571428571429</v>
      </c>
      <c r="L109" s="15" t="n">
        <f aca="false">IF(J109="","",(J109/(1+Forudsætninger!$B$3)-G109)/(J109/(1+Forudsætninger!$B$3)))</f>
        <v>0.472916666666667</v>
      </c>
      <c r="M109" s="11" t="s">
        <v>351</v>
      </c>
      <c r="N109" s="11"/>
    </row>
    <row r="110" customFormat="false" ht="15" hidden="false" customHeight="false" outlineLevel="0" collapsed="false">
      <c r="A110" s="11" t="s">
        <v>27</v>
      </c>
      <c r="B110" s="11" t="s">
        <v>352</v>
      </c>
      <c r="C110" s="11" t="s">
        <v>186</v>
      </c>
      <c r="D110" s="11" t="s">
        <v>353</v>
      </c>
      <c r="E110" s="12" t="n">
        <v>134</v>
      </c>
      <c r="F110" s="13" t="n">
        <f aca="false">E110/(1+Forudsætninger!$B$3)</f>
        <v>107.2</v>
      </c>
      <c r="G110" s="14" t="n">
        <v>80.3</v>
      </c>
      <c r="H110" s="15" t="n">
        <f aca="false">IF(OR(G110="",F110=0),"",(F110-G110)/F110)</f>
        <v>0.250932835820896</v>
      </c>
      <c r="I110" s="11" t="str">
        <f aca="false">IF(G110="","UKENDT",IF(OR(E110=0,H110&lt;0),"KRITISK",IF(H110&lt;0.2,"HØJ",IF(H110&lt;0.35,"MIDDEL","OK"))))</f>
        <v>MIDDEL</v>
      </c>
      <c r="J110" s="12" t="n">
        <f aca="false">IF(G110="","",MAX(E110,CEILING(G110/(1-Forudsætninger!$B$4)*(1+Forudsætninger!$B$3),IF(G110/(1-Forudsætninger!$B$4)*(1+Forudsætninger!$B$3)&lt;50,1,IF(G110/(1-Forudsætninger!$B$4)*(1+Forudsætninger!$B$3)&lt;200,5,10)))))</f>
        <v>185</v>
      </c>
      <c r="K110" s="15" t="n">
        <f aca="false">IF(OR(J110="",E110=0),"",J110/E110-1)</f>
        <v>0.380597014925373</v>
      </c>
      <c r="L110" s="15" t="n">
        <f aca="false">IF(J110="","",(J110/(1+Forudsætninger!$B$3)-G110)/(J110/(1+Forudsætninger!$B$3)))</f>
        <v>0.457432432432433</v>
      </c>
      <c r="M110" s="11" t="s">
        <v>354</v>
      </c>
      <c r="N110" s="11"/>
    </row>
    <row r="111" customFormat="false" ht="15" hidden="false" customHeight="false" outlineLevel="0" collapsed="false">
      <c r="A111" s="11" t="s">
        <v>29</v>
      </c>
      <c r="B111" s="11" t="s">
        <v>88</v>
      </c>
      <c r="C111" s="11" t="s">
        <v>209</v>
      </c>
      <c r="D111" s="11" t="s">
        <v>355</v>
      </c>
      <c r="E111" s="12" t="n">
        <v>23</v>
      </c>
      <c r="F111" s="13" t="n">
        <f aca="false">E111/(1+Forudsætninger!$B$3)</f>
        <v>18.4</v>
      </c>
      <c r="G111" s="14" t="n">
        <v>13.75</v>
      </c>
      <c r="H111" s="15" t="n">
        <f aca="false">IF(OR(G111="",F111=0),"",(F111-G111)/F111)</f>
        <v>0.252717391304348</v>
      </c>
      <c r="I111" s="11" t="str">
        <f aca="false">IF(G111="","UKENDT",IF(OR(E111=0,H111&lt;0),"KRITISK",IF(H111&lt;0.2,"HØJ",IF(H111&lt;0.35,"MIDDEL","OK"))))</f>
        <v>MIDDEL</v>
      </c>
      <c r="J111" s="12" t="n">
        <f aca="false">IF(G111="","",MAX(E111,CEILING(G111/(1-Forudsætninger!$B$4)*(1+Forudsætninger!$B$3),IF(G111/(1-Forudsætninger!$B$4)*(1+Forudsætninger!$B$3)&lt;50,1,IF(G111/(1-Forudsætninger!$B$4)*(1+Forudsætninger!$B$3)&lt;200,5,10)))))</f>
        <v>32</v>
      </c>
      <c r="K111" s="15" t="n">
        <f aca="false">IF(OR(J111="",E111=0),"",J111/E111-1)</f>
        <v>0.391304347826087</v>
      </c>
      <c r="L111" s="15" t="n">
        <f aca="false">IF(J111="","",(J111/(1+Forudsætninger!$B$3)-G111)/(J111/(1+Forudsætninger!$B$3)))</f>
        <v>0.462890625</v>
      </c>
      <c r="M111" s="11" t="s">
        <v>356</v>
      </c>
      <c r="N111" s="11"/>
    </row>
    <row r="112" customFormat="false" ht="15" hidden="false" customHeight="false" outlineLevel="0" collapsed="false">
      <c r="A112" s="11" t="s">
        <v>26</v>
      </c>
      <c r="B112" s="11" t="s">
        <v>345</v>
      </c>
      <c r="C112" s="11" t="s">
        <v>89</v>
      </c>
      <c r="D112" s="11" t="s">
        <v>357</v>
      </c>
      <c r="E112" s="12" t="n">
        <v>61</v>
      </c>
      <c r="F112" s="13" t="n">
        <f aca="false">E112/(1+Forudsætninger!$B$3)</f>
        <v>48.8</v>
      </c>
      <c r="G112" s="14" t="n">
        <v>36.3</v>
      </c>
      <c r="H112" s="15" t="n">
        <f aca="false">IF(OR(G112="",F112=0),"",(F112-G112)/F112)</f>
        <v>0.256147540983607</v>
      </c>
      <c r="I112" s="11" t="str">
        <f aca="false">IF(G112="","UKENDT",IF(OR(E112=0,H112&lt;0),"KRITISK",IF(H112&lt;0.2,"HØJ",IF(H112&lt;0.35,"MIDDEL","OK"))))</f>
        <v>MIDDEL</v>
      </c>
      <c r="J112" s="12" t="n">
        <f aca="false">IF(G112="","",MAX(E112,CEILING(G112/(1-Forudsætninger!$B$4)*(1+Forudsætninger!$B$3),IF(G112/(1-Forudsætninger!$B$4)*(1+Forudsætninger!$B$3)&lt;50,1,IF(G112/(1-Forudsætninger!$B$4)*(1+Forudsætninger!$B$3)&lt;200,5,10)))))</f>
        <v>85</v>
      </c>
      <c r="K112" s="15" t="n">
        <f aca="false">IF(OR(J112="",E112=0),"",J112/E112-1)</f>
        <v>0.39344262295082</v>
      </c>
      <c r="L112" s="15" t="n">
        <f aca="false">IF(J112="","",(J112/(1+Forudsætninger!$B$3)-G112)/(J112/(1+Forudsætninger!$B$3)))</f>
        <v>0.466176470588235</v>
      </c>
      <c r="M112" s="11" t="s">
        <v>358</v>
      </c>
      <c r="N112" s="11"/>
    </row>
    <row r="113" customFormat="false" ht="15" hidden="false" customHeight="false" outlineLevel="0" collapsed="false">
      <c r="A113" s="11" t="s">
        <v>32</v>
      </c>
      <c r="B113" s="11" t="s">
        <v>359</v>
      </c>
      <c r="C113" s="11" t="s">
        <v>151</v>
      </c>
      <c r="D113" s="11" t="s">
        <v>360</v>
      </c>
      <c r="E113" s="12" t="n">
        <v>185</v>
      </c>
      <c r="F113" s="13" t="n">
        <f aca="false">E113/(1+Forudsætninger!$B$3)</f>
        <v>148</v>
      </c>
      <c r="G113" s="14" t="n">
        <v>110</v>
      </c>
      <c r="H113" s="15" t="n">
        <f aca="false">IF(OR(G113="",F113=0),"",(F113-G113)/F113)</f>
        <v>0.256756756756757</v>
      </c>
      <c r="I113" s="11" t="str">
        <f aca="false">IF(G113="","UKENDT",IF(OR(E113=0,H113&lt;0),"KRITISK",IF(H113&lt;0.2,"HØJ",IF(H113&lt;0.35,"MIDDEL","OK"))))</f>
        <v>MIDDEL</v>
      </c>
      <c r="J113" s="12" t="n">
        <f aca="false">IF(G113="","",MAX(E113,CEILING(G113/(1-Forudsætninger!$B$4)*(1+Forudsætninger!$B$3),IF(G113/(1-Forudsætninger!$B$4)*(1+Forudsætninger!$B$3)&lt;50,1,IF(G113/(1-Forudsætninger!$B$4)*(1+Forudsætninger!$B$3)&lt;200,5,10)))))</f>
        <v>250</v>
      </c>
      <c r="K113" s="15" t="n">
        <f aca="false">IF(OR(J113="",E113=0),"",J113/E113-1)</f>
        <v>0.351351351351351</v>
      </c>
      <c r="L113" s="15" t="n">
        <f aca="false">IF(J113="","",(J113/(1+Forudsætninger!$B$3)-G113)/(J113/(1+Forudsætninger!$B$3)))</f>
        <v>0.45</v>
      </c>
      <c r="M113" s="11" t="s">
        <v>361</v>
      </c>
      <c r="N113" s="11"/>
    </row>
    <row r="114" customFormat="false" ht="15" hidden="false" customHeight="false" outlineLevel="0" collapsed="false">
      <c r="A114" s="11" t="s">
        <v>32</v>
      </c>
      <c r="B114" s="11" t="s">
        <v>321</v>
      </c>
      <c r="C114" s="11" t="s">
        <v>151</v>
      </c>
      <c r="D114" s="11" t="s">
        <v>362</v>
      </c>
      <c r="E114" s="12" t="n">
        <v>150</v>
      </c>
      <c r="F114" s="13" t="n">
        <f aca="false">E114/(1+Forudsætninger!$B$3)</f>
        <v>120</v>
      </c>
      <c r="G114" s="14" t="n">
        <v>89.1</v>
      </c>
      <c r="H114" s="15" t="n">
        <f aca="false">IF(OR(G114="",F114=0),"",(F114-G114)/F114)</f>
        <v>0.2575</v>
      </c>
      <c r="I114" s="11" t="str">
        <f aca="false">IF(G114="","UKENDT",IF(OR(E114=0,H114&lt;0),"KRITISK",IF(H114&lt;0.2,"HØJ",IF(H114&lt;0.35,"MIDDEL","OK"))))</f>
        <v>MIDDEL</v>
      </c>
      <c r="J114" s="12" t="n">
        <f aca="false">IF(G114="","",MAX(E114,CEILING(G114/(1-Forudsætninger!$B$4)*(1+Forudsætninger!$B$3),IF(G114/(1-Forudsætninger!$B$4)*(1+Forudsætninger!$B$3)&lt;50,1,IF(G114/(1-Forudsætninger!$B$4)*(1+Forudsætninger!$B$3)&lt;200,5,10)))))</f>
        <v>210</v>
      </c>
      <c r="K114" s="15" t="n">
        <f aca="false">IF(OR(J114="",E114=0),"",J114/E114-1)</f>
        <v>0.4</v>
      </c>
      <c r="L114" s="15" t="n">
        <f aca="false">IF(J114="","",(J114/(1+Forudsætninger!$B$3)-G114)/(J114/(1+Forudsætninger!$B$3)))</f>
        <v>0.469642857142857</v>
      </c>
      <c r="M114" s="11" t="s">
        <v>363</v>
      </c>
      <c r="N114" s="11"/>
    </row>
    <row r="115" customFormat="false" ht="15" hidden="false" customHeight="false" outlineLevel="0" collapsed="false">
      <c r="A115" s="11" t="s">
        <v>30</v>
      </c>
      <c r="B115" s="11" t="s">
        <v>364</v>
      </c>
      <c r="C115" s="11" t="s">
        <v>120</v>
      </c>
      <c r="D115" s="11" t="s">
        <v>365</v>
      </c>
      <c r="E115" s="12" t="n">
        <v>501</v>
      </c>
      <c r="F115" s="13" t="n">
        <f aca="false">E115/(1+Forudsætninger!$B$3)</f>
        <v>400.8</v>
      </c>
      <c r="G115" s="14" t="n">
        <v>297</v>
      </c>
      <c r="H115" s="15" t="n">
        <f aca="false">IF(OR(G115="",F115=0),"",(F115-G115)/F115)</f>
        <v>0.258982035928144</v>
      </c>
      <c r="I115" s="11" t="str">
        <f aca="false">IF(G115="","UKENDT",IF(OR(E115=0,H115&lt;0),"KRITISK",IF(H115&lt;0.2,"HØJ",IF(H115&lt;0.35,"MIDDEL","OK"))))</f>
        <v>MIDDEL</v>
      </c>
      <c r="J115" s="12" t="n">
        <f aca="false">IF(G115="","",MAX(E115,CEILING(G115/(1-Forudsætninger!$B$4)*(1+Forudsætninger!$B$3),IF(G115/(1-Forudsætninger!$B$4)*(1+Forudsætninger!$B$3)&lt;50,1,IF(G115/(1-Forudsætninger!$B$4)*(1+Forudsætninger!$B$3)&lt;200,5,10)))))</f>
        <v>680</v>
      </c>
      <c r="K115" s="15" t="n">
        <f aca="false">IF(OR(J115="",E115=0),"",J115/E115-1)</f>
        <v>0.357285429141716</v>
      </c>
      <c r="L115" s="15" t="n">
        <f aca="false">IF(J115="","",(J115/(1+Forudsætninger!$B$3)-G115)/(J115/(1+Forudsætninger!$B$3)))</f>
        <v>0.454044117647059</v>
      </c>
      <c r="M115" s="11" t="s">
        <v>366</v>
      </c>
      <c r="N115" s="11"/>
    </row>
    <row r="116" customFormat="false" ht="15" hidden="false" customHeight="false" outlineLevel="0" collapsed="false">
      <c r="A116" s="11" t="s">
        <v>30</v>
      </c>
      <c r="B116" s="11" t="s">
        <v>364</v>
      </c>
      <c r="C116" s="11" t="s">
        <v>126</v>
      </c>
      <c r="D116" s="11" t="s">
        <v>367</v>
      </c>
      <c r="E116" s="12" t="n">
        <v>501</v>
      </c>
      <c r="F116" s="13" t="n">
        <f aca="false">E116/(1+Forudsætninger!$B$3)</f>
        <v>400.8</v>
      </c>
      <c r="G116" s="14" t="n">
        <v>297</v>
      </c>
      <c r="H116" s="15" t="n">
        <f aca="false">IF(OR(G116="",F116=0),"",(F116-G116)/F116)</f>
        <v>0.258982035928144</v>
      </c>
      <c r="I116" s="11" t="str">
        <f aca="false">IF(G116="","UKENDT",IF(OR(E116=0,H116&lt;0),"KRITISK",IF(H116&lt;0.2,"HØJ",IF(H116&lt;0.35,"MIDDEL","OK"))))</f>
        <v>MIDDEL</v>
      </c>
      <c r="J116" s="12" t="n">
        <f aca="false">IF(G116="","",MAX(E116,CEILING(G116/(1-Forudsætninger!$B$4)*(1+Forudsætninger!$B$3),IF(G116/(1-Forudsætninger!$B$4)*(1+Forudsætninger!$B$3)&lt;50,1,IF(G116/(1-Forudsætninger!$B$4)*(1+Forudsætninger!$B$3)&lt;200,5,10)))))</f>
        <v>680</v>
      </c>
      <c r="K116" s="15" t="n">
        <f aca="false">IF(OR(J116="",E116=0),"",J116/E116-1)</f>
        <v>0.357285429141716</v>
      </c>
      <c r="L116" s="15" t="n">
        <f aca="false">IF(J116="","",(J116/(1+Forudsætninger!$B$3)-G116)/(J116/(1+Forudsætninger!$B$3)))</f>
        <v>0.454044117647059</v>
      </c>
      <c r="M116" s="11" t="s">
        <v>368</v>
      </c>
      <c r="N116" s="11"/>
    </row>
    <row r="117" customFormat="false" ht="15" hidden="false" customHeight="false" outlineLevel="0" collapsed="false">
      <c r="A117" s="11" t="s">
        <v>30</v>
      </c>
      <c r="B117" s="11" t="s">
        <v>364</v>
      </c>
      <c r="C117" s="11" t="s">
        <v>129</v>
      </c>
      <c r="D117" s="11" t="s">
        <v>369</v>
      </c>
      <c r="E117" s="12" t="n">
        <v>501</v>
      </c>
      <c r="F117" s="13" t="n">
        <f aca="false">E117/(1+Forudsætninger!$B$3)</f>
        <v>400.8</v>
      </c>
      <c r="G117" s="14" t="n">
        <v>297</v>
      </c>
      <c r="H117" s="15" t="n">
        <f aca="false">IF(OR(G117="",F117=0),"",(F117-G117)/F117)</f>
        <v>0.258982035928144</v>
      </c>
      <c r="I117" s="11" t="str">
        <f aca="false">IF(G117="","UKENDT",IF(OR(E117=0,H117&lt;0),"KRITISK",IF(H117&lt;0.2,"HØJ",IF(H117&lt;0.35,"MIDDEL","OK"))))</f>
        <v>MIDDEL</v>
      </c>
      <c r="J117" s="12" t="n">
        <f aca="false">IF(G117="","",MAX(E117,CEILING(G117/(1-Forudsætninger!$B$4)*(1+Forudsætninger!$B$3),IF(G117/(1-Forudsætninger!$B$4)*(1+Forudsætninger!$B$3)&lt;50,1,IF(G117/(1-Forudsætninger!$B$4)*(1+Forudsætninger!$B$3)&lt;200,5,10)))))</f>
        <v>680</v>
      </c>
      <c r="K117" s="15" t="n">
        <f aca="false">IF(OR(J117="",E117=0),"",J117/E117-1)</f>
        <v>0.357285429141716</v>
      </c>
      <c r="L117" s="15" t="n">
        <f aca="false">IF(J117="","",(J117/(1+Forudsætninger!$B$3)-G117)/(J117/(1+Forudsætninger!$B$3)))</f>
        <v>0.454044117647059</v>
      </c>
      <c r="M117" s="11" t="s">
        <v>370</v>
      </c>
      <c r="N117" s="11"/>
    </row>
    <row r="118" customFormat="false" ht="15" hidden="false" customHeight="false" outlineLevel="0" collapsed="false">
      <c r="A118" s="11" t="s">
        <v>30</v>
      </c>
      <c r="B118" s="11" t="s">
        <v>364</v>
      </c>
      <c r="C118" s="11" t="s">
        <v>132</v>
      </c>
      <c r="D118" s="11" t="s">
        <v>371</v>
      </c>
      <c r="E118" s="12" t="n">
        <v>501</v>
      </c>
      <c r="F118" s="13" t="n">
        <f aca="false">E118/(1+Forudsætninger!$B$3)</f>
        <v>400.8</v>
      </c>
      <c r="G118" s="14" t="n">
        <v>297</v>
      </c>
      <c r="H118" s="15" t="n">
        <f aca="false">IF(OR(G118="",F118=0),"",(F118-G118)/F118)</f>
        <v>0.258982035928144</v>
      </c>
      <c r="I118" s="11" t="str">
        <f aca="false">IF(G118="","UKENDT",IF(OR(E118=0,H118&lt;0),"KRITISK",IF(H118&lt;0.2,"HØJ",IF(H118&lt;0.35,"MIDDEL","OK"))))</f>
        <v>MIDDEL</v>
      </c>
      <c r="J118" s="12" t="n">
        <f aca="false">IF(G118="","",MAX(E118,CEILING(G118/(1-Forudsætninger!$B$4)*(1+Forudsætninger!$B$3),IF(G118/(1-Forudsætninger!$B$4)*(1+Forudsætninger!$B$3)&lt;50,1,IF(G118/(1-Forudsætninger!$B$4)*(1+Forudsætninger!$B$3)&lt;200,5,10)))))</f>
        <v>680</v>
      </c>
      <c r="K118" s="15" t="n">
        <f aca="false">IF(OR(J118="",E118=0),"",J118/E118-1)</f>
        <v>0.357285429141716</v>
      </c>
      <c r="L118" s="15" t="n">
        <f aca="false">IF(J118="","",(J118/(1+Forudsætninger!$B$3)-G118)/(J118/(1+Forudsætninger!$B$3)))</f>
        <v>0.454044117647059</v>
      </c>
      <c r="M118" s="11" t="s">
        <v>372</v>
      </c>
      <c r="N118" s="11"/>
    </row>
    <row r="119" customFormat="false" ht="15" hidden="false" customHeight="false" outlineLevel="0" collapsed="false">
      <c r="A119" s="11" t="s">
        <v>30</v>
      </c>
      <c r="B119" s="11" t="s">
        <v>364</v>
      </c>
      <c r="C119" s="11" t="s">
        <v>138</v>
      </c>
      <c r="D119" s="11" t="s">
        <v>373</v>
      </c>
      <c r="E119" s="12" t="n">
        <v>501</v>
      </c>
      <c r="F119" s="13" t="n">
        <f aca="false">E119/(1+Forudsætninger!$B$3)</f>
        <v>400.8</v>
      </c>
      <c r="G119" s="14" t="n">
        <v>297</v>
      </c>
      <c r="H119" s="15" t="n">
        <f aca="false">IF(OR(G119="",F119=0),"",(F119-G119)/F119)</f>
        <v>0.258982035928144</v>
      </c>
      <c r="I119" s="11" t="str">
        <f aca="false">IF(G119="","UKENDT",IF(OR(E119=0,H119&lt;0),"KRITISK",IF(H119&lt;0.2,"HØJ",IF(H119&lt;0.35,"MIDDEL","OK"))))</f>
        <v>MIDDEL</v>
      </c>
      <c r="J119" s="12" t="n">
        <f aca="false">IF(G119="","",MAX(E119,CEILING(G119/(1-Forudsætninger!$B$4)*(1+Forudsætninger!$B$3),IF(G119/(1-Forudsætninger!$B$4)*(1+Forudsætninger!$B$3)&lt;50,1,IF(G119/(1-Forudsætninger!$B$4)*(1+Forudsætninger!$B$3)&lt;200,5,10)))))</f>
        <v>680</v>
      </c>
      <c r="K119" s="15" t="n">
        <f aca="false">IF(OR(J119="",E119=0),"",J119/E119-1)</f>
        <v>0.357285429141716</v>
      </c>
      <c r="L119" s="15" t="n">
        <f aca="false">IF(J119="","",(J119/(1+Forudsætninger!$B$3)-G119)/(J119/(1+Forudsætninger!$B$3)))</f>
        <v>0.454044117647059</v>
      </c>
      <c r="M119" s="11" t="s">
        <v>374</v>
      </c>
      <c r="N119" s="11"/>
    </row>
    <row r="120" customFormat="false" ht="15" hidden="false" customHeight="false" outlineLevel="0" collapsed="false">
      <c r="A120" s="11" t="s">
        <v>30</v>
      </c>
      <c r="B120" s="11" t="s">
        <v>364</v>
      </c>
      <c r="C120" s="11" t="s">
        <v>375</v>
      </c>
      <c r="D120" s="11" t="s">
        <v>376</v>
      </c>
      <c r="E120" s="12" t="n">
        <v>501</v>
      </c>
      <c r="F120" s="13" t="n">
        <f aca="false">E120/(1+Forudsætninger!$B$3)</f>
        <v>400.8</v>
      </c>
      <c r="G120" s="14" t="n">
        <v>297</v>
      </c>
      <c r="H120" s="15" t="n">
        <f aca="false">IF(OR(G120="",F120=0),"",(F120-G120)/F120)</f>
        <v>0.258982035928144</v>
      </c>
      <c r="I120" s="11" t="str">
        <f aca="false">IF(G120="","UKENDT",IF(OR(E120=0,H120&lt;0),"KRITISK",IF(H120&lt;0.2,"HØJ",IF(H120&lt;0.35,"MIDDEL","OK"))))</f>
        <v>MIDDEL</v>
      </c>
      <c r="J120" s="12" t="n">
        <f aca="false">IF(G120="","",MAX(E120,CEILING(G120/(1-Forudsætninger!$B$4)*(1+Forudsætninger!$B$3),IF(G120/(1-Forudsætninger!$B$4)*(1+Forudsætninger!$B$3)&lt;50,1,IF(G120/(1-Forudsætninger!$B$4)*(1+Forudsætninger!$B$3)&lt;200,5,10)))))</f>
        <v>680</v>
      </c>
      <c r="K120" s="15" t="n">
        <f aca="false">IF(OR(J120="",E120=0),"",J120/E120-1)</f>
        <v>0.357285429141716</v>
      </c>
      <c r="L120" s="15" t="n">
        <f aca="false">IF(J120="","",(J120/(1+Forudsætninger!$B$3)-G120)/(J120/(1+Forudsætninger!$B$3)))</f>
        <v>0.454044117647059</v>
      </c>
      <c r="M120" s="11" t="s">
        <v>377</v>
      </c>
      <c r="N120" s="11"/>
    </row>
    <row r="121" customFormat="false" ht="15" hidden="false" customHeight="false" outlineLevel="0" collapsed="false">
      <c r="A121" s="11" t="s">
        <v>32</v>
      </c>
      <c r="B121" s="11" t="s">
        <v>321</v>
      </c>
      <c r="C121" s="11" t="s">
        <v>62</v>
      </c>
      <c r="D121" s="11" t="s">
        <v>378</v>
      </c>
      <c r="E121" s="12" t="n">
        <v>135</v>
      </c>
      <c r="F121" s="13" t="n">
        <f aca="false">E121/(1+Forudsætninger!$B$3)</f>
        <v>108</v>
      </c>
      <c r="G121" s="14" t="n">
        <v>79.2</v>
      </c>
      <c r="H121" s="15" t="n">
        <f aca="false">IF(OR(G121="",F121=0),"",(F121-G121)/F121)</f>
        <v>0.266666666666667</v>
      </c>
      <c r="I121" s="11" t="str">
        <f aca="false">IF(G121="","UKENDT",IF(OR(E121=0,H121&lt;0),"KRITISK",IF(H121&lt;0.2,"HØJ",IF(H121&lt;0.35,"MIDDEL","OK"))))</f>
        <v>MIDDEL</v>
      </c>
      <c r="J121" s="12" t="n">
        <f aca="false">IF(G121="","",MAX(E121,CEILING(G121/(1-Forudsætninger!$B$4)*(1+Forudsætninger!$B$3),IF(G121/(1-Forudsætninger!$B$4)*(1+Forudsætninger!$B$3)&lt;50,1,IF(G121/(1-Forudsætninger!$B$4)*(1+Forudsætninger!$B$3)&lt;200,5,10)))))</f>
        <v>180</v>
      </c>
      <c r="K121" s="15" t="n">
        <f aca="false">IF(OR(J121="",E121=0),"",J121/E121-1)</f>
        <v>0.333333333333333</v>
      </c>
      <c r="L121" s="15" t="n">
        <f aca="false">IF(J121="","",(J121/(1+Forudsætninger!$B$3)-G121)/(J121/(1+Forudsætninger!$B$3)))</f>
        <v>0.45</v>
      </c>
      <c r="M121" s="11" t="s">
        <v>379</v>
      </c>
      <c r="N121" s="11"/>
    </row>
    <row r="122" customFormat="false" ht="15" hidden="false" customHeight="false" outlineLevel="0" collapsed="false">
      <c r="A122" s="11" t="s">
        <v>32</v>
      </c>
      <c r="B122" s="11" t="s">
        <v>380</v>
      </c>
      <c r="C122" s="11" t="s">
        <v>295</v>
      </c>
      <c r="D122" s="11" t="s">
        <v>381</v>
      </c>
      <c r="E122" s="12" t="n">
        <v>150</v>
      </c>
      <c r="F122" s="13" t="n">
        <f aca="false">E122/(1+Forudsætninger!$B$3)</f>
        <v>120</v>
      </c>
      <c r="G122" s="14" t="n">
        <v>88</v>
      </c>
      <c r="H122" s="15" t="n">
        <f aca="false">IF(OR(G122="",F122=0),"",(F122-G122)/F122)</f>
        <v>0.266666666666667</v>
      </c>
      <c r="I122" s="11" t="str">
        <f aca="false">IF(G122="","UKENDT",IF(OR(E122=0,H122&lt;0),"KRITISK",IF(H122&lt;0.2,"HØJ",IF(H122&lt;0.35,"MIDDEL","OK"))))</f>
        <v>MIDDEL</v>
      </c>
      <c r="J122" s="12" t="n">
        <f aca="false">IF(G122="","",MAX(E122,CEILING(G122/(1-Forudsætninger!$B$4)*(1+Forudsætninger!$B$3),IF(G122/(1-Forudsætninger!$B$4)*(1+Forudsætninger!$B$3)&lt;50,1,IF(G122/(1-Forudsætninger!$B$4)*(1+Forudsætninger!$B$3)&lt;200,5,10)))))</f>
        <v>200</v>
      </c>
      <c r="K122" s="15" t="n">
        <f aca="false">IF(OR(J122="",E122=0),"",J122/E122-1)</f>
        <v>0.333333333333333</v>
      </c>
      <c r="L122" s="15" t="n">
        <f aca="false">IF(J122="","",(J122/(1+Forudsætninger!$B$3)-G122)/(J122/(1+Forudsætninger!$B$3)))</f>
        <v>0.45</v>
      </c>
      <c r="M122" s="11" t="s">
        <v>382</v>
      </c>
      <c r="N122" s="11"/>
    </row>
    <row r="123" customFormat="false" ht="15" hidden="false" customHeight="false" outlineLevel="0" collapsed="false">
      <c r="A123" s="11" t="s">
        <v>22</v>
      </c>
      <c r="B123" s="11" t="s">
        <v>383</v>
      </c>
      <c r="C123" s="11" t="s">
        <v>384</v>
      </c>
      <c r="D123" s="11" t="s">
        <v>385</v>
      </c>
      <c r="E123" s="12" t="n">
        <v>161</v>
      </c>
      <c r="F123" s="13" t="n">
        <f aca="false">E123/(1+Forudsætninger!$B$3)</f>
        <v>128.8</v>
      </c>
      <c r="G123" s="14" t="n">
        <v>94.16</v>
      </c>
      <c r="H123" s="15" t="n">
        <f aca="false">IF(OR(G123="",F123=0),"",(F123-G123)/F123)</f>
        <v>0.268944099378882</v>
      </c>
      <c r="I123" s="11" t="str">
        <f aca="false">IF(G123="","UKENDT",IF(OR(E123=0,H123&lt;0),"KRITISK",IF(H123&lt;0.2,"HØJ",IF(H123&lt;0.35,"MIDDEL","OK"))))</f>
        <v>MIDDEL</v>
      </c>
      <c r="J123" s="12" t="n">
        <f aca="false">IF(G123="","",MAX(E123,CEILING(G123/(1-Forudsætninger!$B$4)*(1+Forudsætninger!$B$3),IF(G123/(1-Forudsætninger!$B$4)*(1+Forudsætninger!$B$3)&lt;50,1,IF(G123/(1-Forudsætninger!$B$4)*(1+Forudsætninger!$B$3)&lt;200,5,10)))))</f>
        <v>220</v>
      </c>
      <c r="K123" s="15" t="n">
        <f aca="false">IF(OR(J123="",E123=0),"",J123/E123-1)</f>
        <v>0.366459627329192</v>
      </c>
      <c r="L123" s="15" t="n">
        <f aca="false">IF(J123="","",(J123/(1+Forudsætninger!$B$3)-G123)/(J123/(1+Forudsætninger!$B$3)))</f>
        <v>0.465</v>
      </c>
      <c r="M123" s="11" t="s">
        <v>386</v>
      </c>
      <c r="N123" s="11"/>
    </row>
    <row r="124" customFormat="false" ht="15" hidden="false" customHeight="false" outlineLevel="0" collapsed="false">
      <c r="A124" s="11" t="s">
        <v>22</v>
      </c>
      <c r="B124" s="11" t="s">
        <v>383</v>
      </c>
      <c r="C124" s="11" t="s">
        <v>387</v>
      </c>
      <c r="D124" s="11" t="s">
        <v>388</v>
      </c>
      <c r="E124" s="12" t="n">
        <v>134</v>
      </c>
      <c r="F124" s="13" t="n">
        <f aca="false">E124/(1+Forudsætninger!$B$3)</f>
        <v>107.2</v>
      </c>
      <c r="G124" s="14" t="n">
        <v>78.32</v>
      </c>
      <c r="H124" s="15" t="n">
        <f aca="false">IF(OR(G124="",F124=0),"",(F124-G124)/F124)</f>
        <v>0.269402985074627</v>
      </c>
      <c r="I124" s="11" t="str">
        <f aca="false">IF(G124="","UKENDT",IF(OR(E124=0,H124&lt;0),"KRITISK",IF(H124&lt;0.2,"HØJ",IF(H124&lt;0.35,"MIDDEL","OK"))))</f>
        <v>MIDDEL</v>
      </c>
      <c r="J124" s="12" t="n">
        <f aca="false">IF(G124="","",MAX(E124,CEILING(G124/(1-Forudsætninger!$B$4)*(1+Forudsætninger!$B$3),IF(G124/(1-Forudsætninger!$B$4)*(1+Forudsætninger!$B$3)&lt;50,1,IF(G124/(1-Forudsætninger!$B$4)*(1+Forudsætninger!$B$3)&lt;200,5,10)))))</f>
        <v>180</v>
      </c>
      <c r="K124" s="15" t="n">
        <f aca="false">IF(OR(J124="",E124=0),"",J124/E124-1)</f>
        <v>0.343283582089552</v>
      </c>
      <c r="L124" s="15" t="n">
        <f aca="false">IF(J124="","",(J124/(1+Forudsætninger!$B$3)-G124)/(J124/(1+Forudsætninger!$B$3)))</f>
        <v>0.456111111111111</v>
      </c>
      <c r="M124" s="11" t="s">
        <v>389</v>
      </c>
      <c r="N124" s="11"/>
    </row>
    <row r="125" customFormat="false" ht="15" hidden="false" customHeight="false" outlineLevel="0" collapsed="false">
      <c r="A125" s="11" t="s">
        <v>22</v>
      </c>
      <c r="B125" s="11" t="s">
        <v>390</v>
      </c>
      <c r="C125" s="11" t="s">
        <v>384</v>
      </c>
      <c r="D125" s="11" t="s">
        <v>391</v>
      </c>
      <c r="E125" s="12" t="n">
        <v>110</v>
      </c>
      <c r="F125" s="13" t="n">
        <f aca="false">E125/(1+Forudsætninger!$B$3)</f>
        <v>88</v>
      </c>
      <c r="G125" s="14" t="n">
        <v>64.24</v>
      </c>
      <c r="H125" s="15" t="n">
        <f aca="false">IF(OR(G125="",F125=0),"",(F125-G125)/F125)</f>
        <v>0.27</v>
      </c>
      <c r="I125" s="11" t="str">
        <f aca="false">IF(G125="","UKENDT",IF(OR(E125=0,H125&lt;0),"KRITISK",IF(H125&lt;0.2,"HØJ",IF(H125&lt;0.35,"MIDDEL","OK"))))</f>
        <v>MIDDEL</v>
      </c>
      <c r="J125" s="12" t="n">
        <f aca="false">IF(G125="","",MAX(E125,CEILING(G125/(1-Forudsætninger!$B$4)*(1+Forudsætninger!$B$3),IF(G125/(1-Forudsætninger!$B$4)*(1+Forudsætninger!$B$3)&lt;50,1,IF(G125/(1-Forudsætninger!$B$4)*(1+Forudsætninger!$B$3)&lt;200,5,10)))))</f>
        <v>150</v>
      </c>
      <c r="K125" s="15" t="n">
        <f aca="false">IF(OR(J125="",E125=0),"",J125/E125-1)</f>
        <v>0.363636363636364</v>
      </c>
      <c r="L125" s="15" t="n">
        <f aca="false">IF(J125="","",(J125/(1+Forudsætninger!$B$3)-G125)/(J125/(1+Forudsætninger!$B$3)))</f>
        <v>0.464666666666667</v>
      </c>
      <c r="M125" s="11" t="s">
        <v>392</v>
      </c>
      <c r="N125" s="11"/>
    </row>
    <row r="126" customFormat="false" ht="15" hidden="false" customHeight="false" outlineLevel="0" collapsed="false">
      <c r="A126" s="11" t="s">
        <v>22</v>
      </c>
      <c r="B126" s="11" t="s">
        <v>390</v>
      </c>
      <c r="C126" s="11" t="s">
        <v>387</v>
      </c>
      <c r="D126" s="11" t="s">
        <v>393</v>
      </c>
      <c r="E126" s="12" t="n">
        <v>101</v>
      </c>
      <c r="F126" s="13" t="n">
        <f aca="false">E126/(1+Forudsætninger!$B$3)</f>
        <v>80.8</v>
      </c>
      <c r="G126" s="14" t="n">
        <v>58.96</v>
      </c>
      <c r="H126" s="15" t="n">
        <f aca="false">IF(OR(G126="",F126=0),"",(F126-G126)/F126)</f>
        <v>0.27029702970297</v>
      </c>
      <c r="I126" s="11" t="str">
        <f aca="false">IF(G126="","UKENDT",IF(OR(E126=0,H126&lt;0),"KRITISK",IF(H126&lt;0.2,"HØJ",IF(H126&lt;0.35,"MIDDEL","OK"))))</f>
        <v>MIDDEL</v>
      </c>
      <c r="J126" s="12" t="n">
        <f aca="false">IF(G126="","",MAX(E126,CEILING(G126/(1-Forudsætninger!$B$4)*(1+Forudsætninger!$B$3),IF(G126/(1-Forudsætninger!$B$4)*(1+Forudsætninger!$B$3)&lt;50,1,IF(G126/(1-Forudsætninger!$B$4)*(1+Forudsætninger!$B$3)&lt;200,5,10)))))</f>
        <v>135</v>
      </c>
      <c r="K126" s="15" t="n">
        <f aca="false">IF(OR(J126="",E126=0),"",J126/E126-1)</f>
        <v>0.336633663366337</v>
      </c>
      <c r="L126" s="15" t="n">
        <f aca="false">IF(J126="","",(J126/(1+Forudsætninger!$B$3)-G126)/(J126/(1+Forudsætninger!$B$3)))</f>
        <v>0.454074074074074</v>
      </c>
      <c r="M126" s="11" t="s">
        <v>394</v>
      </c>
      <c r="N126" s="11"/>
    </row>
    <row r="127" customFormat="false" ht="15" hidden="false" customHeight="false" outlineLevel="0" collapsed="false">
      <c r="A127" s="11" t="s">
        <v>22</v>
      </c>
      <c r="B127" s="11" t="s">
        <v>383</v>
      </c>
      <c r="C127" s="11" t="s">
        <v>395</v>
      </c>
      <c r="D127" s="11" t="s">
        <v>396</v>
      </c>
      <c r="E127" s="12" t="n">
        <v>95</v>
      </c>
      <c r="F127" s="13" t="n">
        <f aca="false">E127/(1+Forudsætninger!$B$3)</f>
        <v>76</v>
      </c>
      <c r="G127" s="14" t="n">
        <v>55.44</v>
      </c>
      <c r="H127" s="15" t="n">
        <f aca="false">IF(OR(G127="",F127=0),"",(F127-G127)/F127)</f>
        <v>0.270526315789474</v>
      </c>
      <c r="I127" s="11" t="str">
        <f aca="false">IF(G127="","UKENDT",IF(OR(E127=0,H127&lt;0),"KRITISK",IF(H127&lt;0.2,"HØJ",IF(H127&lt;0.35,"MIDDEL","OK"))))</f>
        <v>MIDDEL</v>
      </c>
      <c r="J127" s="12" t="n">
        <f aca="false">IF(G127="","",MAX(E127,CEILING(G127/(1-Forudsætninger!$B$4)*(1+Forudsætninger!$B$3),IF(G127/(1-Forudsætninger!$B$4)*(1+Forudsætninger!$B$3)&lt;50,1,IF(G127/(1-Forudsætninger!$B$4)*(1+Forudsætninger!$B$3)&lt;200,5,10)))))</f>
        <v>130</v>
      </c>
      <c r="K127" s="15" t="n">
        <f aca="false">IF(OR(J127="",E127=0),"",J127/E127-1)</f>
        <v>0.368421052631579</v>
      </c>
      <c r="L127" s="15" t="n">
        <f aca="false">IF(J127="","",(J127/(1+Forudsætninger!$B$3)-G127)/(J127/(1+Forudsætninger!$B$3)))</f>
        <v>0.466923076923077</v>
      </c>
      <c r="M127" s="11" t="s">
        <v>397</v>
      </c>
      <c r="N127" s="11"/>
    </row>
    <row r="128" customFormat="false" ht="15" hidden="false" customHeight="false" outlineLevel="0" collapsed="false">
      <c r="A128" s="11" t="s">
        <v>24</v>
      </c>
      <c r="B128" s="11" t="s">
        <v>226</v>
      </c>
      <c r="C128" s="11" t="s">
        <v>398</v>
      </c>
      <c r="D128" s="11" t="s">
        <v>399</v>
      </c>
      <c r="E128" s="12" t="n">
        <v>132</v>
      </c>
      <c r="F128" s="13" t="n">
        <f aca="false">E128/(1+Forudsætninger!$B$3)</f>
        <v>105.6</v>
      </c>
      <c r="G128" s="14" t="n">
        <v>77</v>
      </c>
      <c r="H128" s="15" t="n">
        <f aca="false">IF(OR(G128="",F128=0),"",(F128-G128)/F128)</f>
        <v>0.270833333333333</v>
      </c>
      <c r="I128" s="11" t="str">
        <f aca="false">IF(G128="","UKENDT",IF(OR(E128=0,H128&lt;0),"KRITISK",IF(H128&lt;0.2,"HØJ",IF(H128&lt;0.35,"MIDDEL","OK"))))</f>
        <v>MIDDEL</v>
      </c>
      <c r="J128" s="12" t="n">
        <f aca="false">IF(G128="","",MAX(E128,CEILING(G128/(1-Forudsætninger!$B$4)*(1+Forudsætninger!$B$3),IF(G128/(1-Forudsætninger!$B$4)*(1+Forudsætninger!$B$3)&lt;50,1,IF(G128/(1-Forudsætninger!$B$4)*(1+Forudsætninger!$B$3)&lt;200,5,10)))))</f>
        <v>175</v>
      </c>
      <c r="K128" s="15" t="n">
        <f aca="false">IF(OR(J128="",E128=0),"",J128/E128-1)</f>
        <v>0.325757575757576</v>
      </c>
      <c r="L128" s="15" t="n">
        <f aca="false">IF(J128="","",(J128/(1+Forudsætninger!$B$3)-G128)/(J128/(1+Forudsætninger!$B$3)))</f>
        <v>0.45</v>
      </c>
      <c r="M128" s="11" t="s">
        <v>400</v>
      </c>
      <c r="N128" s="11"/>
    </row>
    <row r="129" customFormat="false" ht="15" hidden="false" customHeight="false" outlineLevel="0" collapsed="false">
      <c r="A129" s="11" t="s">
        <v>22</v>
      </c>
      <c r="B129" s="11" t="s">
        <v>401</v>
      </c>
      <c r="C129" s="11" t="s">
        <v>402</v>
      </c>
      <c r="D129" s="11" t="s">
        <v>403</v>
      </c>
      <c r="E129" s="12" t="n">
        <v>68</v>
      </c>
      <c r="F129" s="13" t="n">
        <f aca="false">E129/(1+Forudsætninger!$B$3)</f>
        <v>54.4</v>
      </c>
      <c r="G129" s="14" t="n">
        <v>39.6</v>
      </c>
      <c r="H129" s="15" t="n">
        <f aca="false">IF(OR(G129="",F129=0),"",(F129-G129)/F129)</f>
        <v>0.272058823529412</v>
      </c>
      <c r="I129" s="11" t="str">
        <f aca="false">IF(G129="","UKENDT",IF(OR(E129=0,H129&lt;0),"KRITISK",IF(H129&lt;0.2,"HØJ",IF(H129&lt;0.35,"MIDDEL","OK"))))</f>
        <v>MIDDEL</v>
      </c>
      <c r="J129" s="12" t="n">
        <f aca="false">IF(G129="","",MAX(E129,CEILING(G129/(1-Forudsætninger!$B$4)*(1+Forudsætninger!$B$3),IF(G129/(1-Forudsætninger!$B$4)*(1+Forudsætninger!$B$3)&lt;50,1,IF(G129/(1-Forudsætninger!$B$4)*(1+Forudsætninger!$B$3)&lt;200,5,10)))))</f>
        <v>90</v>
      </c>
      <c r="K129" s="15" t="n">
        <f aca="false">IF(OR(J129="",E129=0),"",J129/E129-1)</f>
        <v>0.323529411764706</v>
      </c>
      <c r="L129" s="15" t="n">
        <f aca="false">IF(J129="","",(J129/(1+Forudsætninger!$B$3)-G129)/(J129/(1+Forudsætninger!$B$3)))</f>
        <v>0.45</v>
      </c>
      <c r="M129" s="11" t="s">
        <v>404</v>
      </c>
      <c r="N129" s="11"/>
    </row>
    <row r="130" customFormat="false" ht="15" hidden="false" customHeight="false" outlineLevel="0" collapsed="false">
      <c r="A130" s="11" t="s">
        <v>30</v>
      </c>
      <c r="B130" s="11" t="s">
        <v>405</v>
      </c>
      <c r="C130" s="11" t="s">
        <v>120</v>
      </c>
      <c r="D130" s="11" t="s">
        <v>406</v>
      </c>
      <c r="E130" s="12" t="n">
        <v>945</v>
      </c>
      <c r="F130" s="13" t="n">
        <f aca="false">E130/(1+Forudsætninger!$B$3)</f>
        <v>756</v>
      </c>
      <c r="G130" s="14" t="n">
        <v>550</v>
      </c>
      <c r="H130" s="15" t="n">
        <f aca="false">IF(OR(G130="",F130=0),"",(F130-G130)/F130)</f>
        <v>0.272486772486773</v>
      </c>
      <c r="I130" s="11" t="str">
        <f aca="false">IF(G130="","UKENDT",IF(OR(E130=0,H130&lt;0),"KRITISK",IF(H130&lt;0.2,"HØJ",IF(H130&lt;0.35,"MIDDEL","OK"))))</f>
        <v>MIDDEL</v>
      </c>
      <c r="J130" s="12" t="n">
        <f aca="false">IF(G130="","",MAX(E130,CEILING(G130/(1-Forudsætninger!$B$4)*(1+Forudsætninger!$B$3),IF(G130/(1-Forudsætninger!$B$4)*(1+Forudsætninger!$B$3)&lt;50,1,IF(G130/(1-Forudsætninger!$B$4)*(1+Forudsætninger!$B$3)&lt;200,5,10)))))</f>
        <v>1250</v>
      </c>
      <c r="K130" s="15" t="n">
        <f aca="false">IF(OR(J130="",E130=0),"",J130/E130-1)</f>
        <v>0.322751322751323</v>
      </c>
      <c r="L130" s="15" t="n">
        <f aca="false">IF(J130="","",(J130/(1+Forudsætninger!$B$3)-G130)/(J130/(1+Forudsætninger!$B$3)))</f>
        <v>0.45</v>
      </c>
      <c r="M130" s="11" t="s">
        <v>407</v>
      </c>
      <c r="N130" s="11"/>
    </row>
    <row r="131" customFormat="false" ht="15" hidden="false" customHeight="false" outlineLevel="0" collapsed="false">
      <c r="A131" s="11" t="s">
        <v>30</v>
      </c>
      <c r="B131" s="11" t="s">
        <v>405</v>
      </c>
      <c r="C131" s="11" t="s">
        <v>123</v>
      </c>
      <c r="D131" s="11" t="s">
        <v>408</v>
      </c>
      <c r="E131" s="12" t="n">
        <v>945</v>
      </c>
      <c r="F131" s="13" t="n">
        <f aca="false">E131/(1+Forudsætninger!$B$3)</f>
        <v>756</v>
      </c>
      <c r="G131" s="14" t="n">
        <v>550</v>
      </c>
      <c r="H131" s="15" t="n">
        <f aca="false">IF(OR(G131="",F131=0),"",(F131-G131)/F131)</f>
        <v>0.272486772486773</v>
      </c>
      <c r="I131" s="11" t="str">
        <f aca="false">IF(G131="","UKENDT",IF(OR(E131=0,H131&lt;0),"KRITISK",IF(H131&lt;0.2,"HØJ",IF(H131&lt;0.35,"MIDDEL","OK"))))</f>
        <v>MIDDEL</v>
      </c>
      <c r="J131" s="12" t="n">
        <f aca="false">IF(G131="","",MAX(E131,CEILING(G131/(1-Forudsætninger!$B$4)*(1+Forudsætninger!$B$3),IF(G131/(1-Forudsætninger!$B$4)*(1+Forudsætninger!$B$3)&lt;50,1,IF(G131/(1-Forudsætninger!$B$4)*(1+Forudsætninger!$B$3)&lt;200,5,10)))))</f>
        <v>1250</v>
      </c>
      <c r="K131" s="15" t="n">
        <f aca="false">IF(OR(J131="",E131=0),"",J131/E131-1)</f>
        <v>0.322751322751323</v>
      </c>
      <c r="L131" s="15" t="n">
        <f aca="false">IF(J131="","",(J131/(1+Forudsætninger!$B$3)-G131)/(J131/(1+Forudsætninger!$B$3)))</f>
        <v>0.45</v>
      </c>
      <c r="M131" s="11" t="s">
        <v>409</v>
      </c>
      <c r="N131" s="11"/>
    </row>
    <row r="132" customFormat="false" ht="15" hidden="false" customHeight="false" outlineLevel="0" collapsed="false">
      <c r="A132" s="11" t="s">
        <v>30</v>
      </c>
      <c r="B132" s="11" t="s">
        <v>405</v>
      </c>
      <c r="C132" s="11" t="s">
        <v>126</v>
      </c>
      <c r="D132" s="11" t="s">
        <v>410</v>
      </c>
      <c r="E132" s="12" t="n">
        <v>945</v>
      </c>
      <c r="F132" s="13" t="n">
        <f aca="false">E132/(1+Forudsætninger!$B$3)</f>
        <v>756</v>
      </c>
      <c r="G132" s="14" t="n">
        <v>550</v>
      </c>
      <c r="H132" s="15" t="n">
        <f aca="false">IF(OR(G132="",F132=0),"",(F132-G132)/F132)</f>
        <v>0.272486772486773</v>
      </c>
      <c r="I132" s="11" t="str">
        <f aca="false">IF(G132="","UKENDT",IF(OR(E132=0,H132&lt;0),"KRITISK",IF(H132&lt;0.2,"HØJ",IF(H132&lt;0.35,"MIDDEL","OK"))))</f>
        <v>MIDDEL</v>
      </c>
      <c r="J132" s="12" t="n">
        <f aca="false">IF(G132="","",MAX(E132,CEILING(G132/(1-Forudsætninger!$B$4)*(1+Forudsætninger!$B$3),IF(G132/(1-Forudsætninger!$B$4)*(1+Forudsætninger!$B$3)&lt;50,1,IF(G132/(1-Forudsætninger!$B$4)*(1+Forudsætninger!$B$3)&lt;200,5,10)))))</f>
        <v>1250</v>
      </c>
      <c r="K132" s="15" t="n">
        <f aca="false">IF(OR(J132="",E132=0),"",J132/E132-1)</f>
        <v>0.322751322751323</v>
      </c>
      <c r="L132" s="15" t="n">
        <f aca="false">IF(J132="","",(J132/(1+Forudsætninger!$B$3)-G132)/(J132/(1+Forudsætninger!$B$3)))</f>
        <v>0.45</v>
      </c>
      <c r="M132" s="11" t="s">
        <v>411</v>
      </c>
      <c r="N132" s="11"/>
    </row>
    <row r="133" customFormat="false" ht="15" hidden="false" customHeight="false" outlineLevel="0" collapsed="false">
      <c r="A133" s="11" t="s">
        <v>30</v>
      </c>
      <c r="B133" s="11" t="s">
        <v>405</v>
      </c>
      <c r="C133" s="11" t="s">
        <v>129</v>
      </c>
      <c r="D133" s="11" t="s">
        <v>412</v>
      </c>
      <c r="E133" s="12" t="n">
        <v>945</v>
      </c>
      <c r="F133" s="13" t="n">
        <f aca="false">E133/(1+Forudsætninger!$B$3)</f>
        <v>756</v>
      </c>
      <c r="G133" s="14" t="n">
        <v>550</v>
      </c>
      <c r="H133" s="15" t="n">
        <f aca="false">IF(OR(G133="",F133=0),"",(F133-G133)/F133)</f>
        <v>0.272486772486773</v>
      </c>
      <c r="I133" s="11" t="str">
        <f aca="false">IF(G133="","UKENDT",IF(OR(E133=0,H133&lt;0),"KRITISK",IF(H133&lt;0.2,"HØJ",IF(H133&lt;0.35,"MIDDEL","OK"))))</f>
        <v>MIDDEL</v>
      </c>
      <c r="J133" s="12" t="n">
        <f aca="false">IF(G133="","",MAX(E133,CEILING(G133/(1-Forudsætninger!$B$4)*(1+Forudsætninger!$B$3),IF(G133/(1-Forudsætninger!$B$4)*(1+Forudsætninger!$B$3)&lt;50,1,IF(G133/(1-Forudsætninger!$B$4)*(1+Forudsætninger!$B$3)&lt;200,5,10)))))</f>
        <v>1250</v>
      </c>
      <c r="K133" s="15" t="n">
        <f aca="false">IF(OR(J133="",E133=0),"",J133/E133-1)</f>
        <v>0.322751322751323</v>
      </c>
      <c r="L133" s="15" t="n">
        <f aca="false">IF(J133="","",(J133/(1+Forudsætninger!$B$3)-G133)/(J133/(1+Forudsætninger!$B$3)))</f>
        <v>0.45</v>
      </c>
      <c r="M133" s="11" t="s">
        <v>413</v>
      </c>
      <c r="N133" s="11"/>
    </row>
    <row r="134" customFormat="false" ht="15" hidden="false" customHeight="false" outlineLevel="0" collapsed="false">
      <c r="A134" s="11" t="s">
        <v>30</v>
      </c>
      <c r="B134" s="11" t="s">
        <v>405</v>
      </c>
      <c r="C134" s="11" t="s">
        <v>132</v>
      </c>
      <c r="D134" s="11" t="s">
        <v>414</v>
      </c>
      <c r="E134" s="12" t="n">
        <v>945</v>
      </c>
      <c r="F134" s="13" t="n">
        <f aca="false">E134/(1+Forudsætninger!$B$3)</f>
        <v>756</v>
      </c>
      <c r="G134" s="14" t="n">
        <v>550</v>
      </c>
      <c r="H134" s="15" t="n">
        <f aca="false">IF(OR(G134="",F134=0),"",(F134-G134)/F134)</f>
        <v>0.272486772486773</v>
      </c>
      <c r="I134" s="11" t="str">
        <f aca="false">IF(G134="","UKENDT",IF(OR(E134=0,H134&lt;0),"KRITISK",IF(H134&lt;0.2,"HØJ",IF(H134&lt;0.35,"MIDDEL","OK"))))</f>
        <v>MIDDEL</v>
      </c>
      <c r="J134" s="12" t="n">
        <f aca="false">IF(G134="","",MAX(E134,CEILING(G134/(1-Forudsætninger!$B$4)*(1+Forudsætninger!$B$3),IF(G134/(1-Forudsætninger!$B$4)*(1+Forudsætninger!$B$3)&lt;50,1,IF(G134/(1-Forudsætninger!$B$4)*(1+Forudsætninger!$B$3)&lt;200,5,10)))))</f>
        <v>1250</v>
      </c>
      <c r="K134" s="15" t="n">
        <f aca="false">IF(OR(J134="",E134=0),"",J134/E134-1)</f>
        <v>0.322751322751323</v>
      </c>
      <c r="L134" s="15" t="n">
        <f aca="false">IF(J134="","",(J134/(1+Forudsætninger!$B$3)-G134)/(J134/(1+Forudsætninger!$B$3)))</f>
        <v>0.45</v>
      </c>
      <c r="M134" s="11" t="s">
        <v>415</v>
      </c>
      <c r="N134" s="11"/>
    </row>
    <row r="135" customFormat="false" ht="15" hidden="false" customHeight="false" outlineLevel="0" collapsed="false">
      <c r="A135" s="11" t="s">
        <v>30</v>
      </c>
      <c r="B135" s="11" t="s">
        <v>405</v>
      </c>
      <c r="C135" s="11" t="s">
        <v>135</v>
      </c>
      <c r="D135" s="11" t="s">
        <v>416</v>
      </c>
      <c r="E135" s="12" t="n">
        <v>945</v>
      </c>
      <c r="F135" s="13" t="n">
        <f aca="false">E135/(1+Forudsætninger!$B$3)</f>
        <v>756</v>
      </c>
      <c r="G135" s="14" t="n">
        <v>550</v>
      </c>
      <c r="H135" s="15" t="n">
        <f aca="false">IF(OR(G135="",F135=0),"",(F135-G135)/F135)</f>
        <v>0.272486772486773</v>
      </c>
      <c r="I135" s="11" t="str">
        <f aca="false">IF(G135="","UKENDT",IF(OR(E135=0,H135&lt;0),"KRITISK",IF(H135&lt;0.2,"HØJ",IF(H135&lt;0.35,"MIDDEL","OK"))))</f>
        <v>MIDDEL</v>
      </c>
      <c r="J135" s="12" t="n">
        <f aca="false">IF(G135="","",MAX(E135,CEILING(G135/(1-Forudsætninger!$B$4)*(1+Forudsætninger!$B$3),IF(G135/(1-Forudsætninger!$B$4)*(1+Forudsætninger!$B$3)&lt;50,1,IF(G135/(1-Forudsætninger!$B$4)*(1+Forudsætninger!$B$3)&lt;200,5,10)))))</f>
        <v>1250</v>
      </c>
      <c r="K135" s="15" t="n">
        <f aca="false">IF(OR(J135="",E135=0),"",J135/E135-1)</f>
        <v>0.322751322751323</v>
      </c>
      <c r="L135" s="15" t="n">
        <f aca="false">IF(J135="","",(J135/(1+Forudsætninger!$B$3)-G135)/(J135/(1+Forudsætninger!$B$3)))</f>
        <v>0.45</v>
      </c>
      <c r="M135" s="11" t="s">
        <v>417</v>
      </c>
      <c r="N135" s="11"/>
    </row>
    <row r="136" customFormat="false" ht="15" hidden="false" customHeight="false" outlineLevel="0" collapsed="false">
      <c r="A136" s="11" t="s">
        <v>30</v>
      </c>
      <c r="B136" s="11" t="s">
        <v>405</v>
      </c>
      <c r="C136" s="11" t="s">
        <v>138</v>
      </c>
      <c r="D136" s="11" t="s">
        <v>418</v>
      </c>
      <c r="E136" s="12" t="n">
        <v>945</v>
      </c>
      <c r="F136" s="13" t="n">
        <f aca="false">E136/(1+Forudsætninger!$B$3)</f>
        <v>756</v>
      </c>
      <c r="G136" s="14" t="n">
        <v>550</v>
      </c>
      <c r="H136" s="15" t="n">
        <f aca="false">IF(OR(G136="",F136=0),"",(F136-G136)/F136)</f>
        <v>0.272486772486773</v>
      </c>
      <c r="I136" s="11" t="str">
        <f aca="false">IF(G136="","UKENDT",IF(OR(E136=0,H136&lt;0),"KRITISK",IF(H136&lt;0.2,"HØJ",IF(H136&lt;0.35,"MIDDEL","OK"))))</f>
        <v>MIDDEL</v>
      </c>
      <c r="J136" s="12" t="n">
        <f aca="false">IF(G136="","",MAX(E136,CEILING(G136/(1-Forudsætninger!$B$4)*(1+Forudsætninger!$B$3),IF(G136/(1-Forudsætninger!$B$4)*(1+Forudsætninger!$B$3)&lt;50,1,IF(G136/(1-Forudsætninger!$B$4)*(1+Forudsætninger!$B$3)&lt;200,5,10)))))</f>
        <v>1250</v>
      </c>
      <c r="K136" s="15" t="n">
        <f aca="false">IF(OR(J136="",E136=0),"",J136/E136-1)</f>
        <v>0.322751322751323</v>
      </c>
      <c r="L136" s="15" t="n">
        <f aca="false">IF(J136="","",(J136/(1+Forudsætninger!$B$3)-G136)/(J136/(1+Forudsætninger!$B$3)))</f>
        <v>0.45</v>
      </c>
      <c r="M136" s="11" t="s">
        <v>419</v>
      </c>
      <c r="N136" s="11"/>
    </row>
    <row r="137" customFormat="false" ht="15" hidden="false" customHeight="false" outlineLevel="0" collapsed="false">
      <c r="A137" s="11" t="s">
        <v>30</v>
      </c>
      <c r="B137" s="11" t="s">
        <v>405</v>
      </c>
      <c r="C137" s="11" t="s">
        <v>141</v>
      </c>
      <c r="D137" s="11" t="s">
        <v>420</v>
      </c>
      <c r="E137" s="12" t="n">
        <v>945</v>
      </c>
      <c r="F137" s="13" t="n">
        <f aca="false">E137/(1+Forudsætninger!$B$3)</f>
        <v>756</v>
      </c>
      <c r="G137" s="14" t="n">
        <v>550</v>
      </c>
      <c r="H137" s="15" t="n">
        <f aca="false">IF(OR(G137="",F137=0),"",(F137-G137)/F137)</f>
        <v>0.272486772486773</v>
      </c>
      <c r="I137" s="11" t="str">
        <f aca="false">IF(G137="","UKENDT",IF(OR(E137=0,H137&lt;0),"KRITISK",IF(H137&lt;0.2,"HØJ",IF(H137&lt;0.35,"MIDDEL","OK"))))</f>
        <v>MIDDEL</v>
      </c>
      <c r="J137" s="12" t="n">
        <f aca="false">IF(G137="","",MAX(E137,CEILING(G137/(1-Forudsætninger!$B$4)*(1+Forudsætninger!$B$3),IF(G137/(1-Forudsætninger!$B$4)*(1+Forudsætninger!$B$3)&lt;50,1,IF(G137/(1-Forudsætninger!$B$4)*(1+Forudsætninger!$B$3)&lt;200,5,10)))))</f>
        <v>1250</v>
      </c>
      <c r="K137" s="15" t="n">
        <f aca="false">IF(OR(J137="",E137=0),"",J137/E137-1)</f>
        <v>0.322751322751323</v>
      </c>
      <c r="L137" s="15" t="n">
        <f aca="false">IF(J137="","",(J137/(1+Forudsætninger!$B$3)-G137)/(J137/(1+Forudsætninger!$B$3)))</f>
        <v>0.45</v>
      </c>
      <c r="M137" s="11" t="s">
        <v>421</v>
      </c>
      <c r="N137" s="11"/>
    </row>
    <row r="138" customFormat="false" ht="15" hidden="false" customHeight="false" outlineLevel="0" collapsed="false">
      <c r="A138" s="11" t="s">
        <v>22</v>
      </c>
      <c r="B138" s="11" t="s">
        <v>390</v>
      </c>
      <c r="C138" s="11" t="s">
        <v>395</v>
      </c>
      <c r="D138" s="11" t="s">
        <v>422</v>
      </c>
      <c r="E138" s="12" t="n">
        <v>56</v>
      </c>
      <c r="F138" s="13" t="n">
        <f aca="false">E138/(1+Forudsætninger!$B$3)</f>
        <v>44.8</v>
      </c>
      <c r="G138" s="14" t="n">
        <v>32.56</v>
      </c>
      <c r="H138" s="15" t="n">
        <f aca="false">IF(OR(G138="",F138=0),"",(F138-G138)/F138)</f>
        <v>0.273214285714286</v>
      </c>
      <c r="I138" s="11" t="str">
        <f aca="false">IF(G138="","UKENDT",IF(OR(E138=0,H138&lt;0),"KRITISK",IF(H138&lt;0.2,"HØJ",IF(H138&lt;0.35,"MIDDEL","OK"))))</f>
        <v>MIDDEL</v>
      </c>
      <c r="J138" s="12" t="n">
        <f aca="false">IF(G138="","",MAX(E138,CEILING(G138/(1-Forudsætninger!$B$4)*(1+Forudsætninger!$B$3),IF(G138/(1-Forudsætninger!$B$4)*(1+Forudsætninger!$B$3)&lt;50,1,IF(G138/(1-Forudsætninger!$B$4)*(1+Forudsætninger!$B$3)&lt;200,5,10)))))</f>
        <v>75</v>
      </c>
      <c r="K138" s="15" t="n">
        <f aca="false">IF(OR(J138="",E138=0),"",J138/E138-1)</f>
        <v>0.339285714285714</v>
      </c>
      <c r="L138" s="15" t="n">
        <f aca="false">IF(J138="","",(J138/(1+Forudsætninger!$B$3)-G138)/(J138/(1+Forudsætninger!$B$3)))</f>
        <v>0.457333333333333</v>
      </c>
      <c r="M138" s="11" t="s">
        <v>423</v>
      </c>
      <c r="N138" s="11"/>
    </row>
    <row r="139" customFormat="false" ht="15" hidden="false" customHeight="false" outlineLevel="0" collapsed="false">
      <c r="A139" s="11" t="s">
        <v>22</v>
      </c>
      <c r="B139" s="11" t="s">
        <v>401</v>
      </c>
      <c r="C139" s="11" t="s">
        <v>424</v>
      </c>
      <c r="D139" s="11" t="s">
        <v>425</v>
      </c>
      <c r="E139" s="12" t="n">
        <v>53</v>
      </c>
      <c r="F139" s="13" t="n">
        <f aca="false">E139/(1+Forudsætninger!$B$3)</f>
        <v>42.4</v>
      </c>
      <c r="G139" s="14" t="n">
        <v>30.8</v>
      </c>
      <c r="H139" s="15" t="n">
        <f aca="false">IF(OR(G139="",F139=0),"",(F139-G139)/F139)</f>
        <v>0.273584905660377</v>
      </c>
      <c r="I139" s="11" t="str">
        <f aca="false">IF(G139="","UKENDT",IF(OR(E139=0,H139&lt;0),"KRITISK",IF(H139&lt;0.2,"HØJ",IF(H139&lt;0.35,"MIDDEL","OK"))))</f>
        <v>MIDDEL</v>
      </c>
      <c r="J139" s="12" t="n">
        <f aca="false">IF(G139="","",MAX(E139,CEILING(G139/(1-Forudsætninger!$B$4)*(1+Forudsætninger!$B$3),IF(G139/(1-Forudsætninger!$B$4)*(1+Forudsætninger!$B$3)&lt;50,1,IF(G139/(1-Forudsætninger!$B$4)*(1+Forudsætninger!$B$3)&lt;200,5,10)))))</f>
        <v>70</v>
      </c>
      <c r="K139" s="15" t="n">
        <f aca="false">IF(OR(J139="",E139=0),"",J139/E139-1)</f>
        <v>0.320754716981132</v>
      </c>
      <c r="L139" s="15" t="n">
        <f aca="false">IF(J139="","",(J139/(1+Forudsætninger!$B$3)-G139)/(J139/(1+Forudsætninger!$B$3)))</f>
        <v>0.45</v>
      </c>
      <c r="M139" s="11" t="s">
        <v>426</v>
      </c>
      <c r="N139" s="11"/>
    </row>
    <row r="140" customFormat="false" ht="15" hidden="false" customHeight="false" outlineLevel="0" collapsed="false">
      <c r="A140" s="11" t="s">
        <v>29</v>
      </c>
      <c r="B140" s="11" t="s">
        <v>342</v>
      </c>
      <c r="C140" s="11" t="s">
        <v>89</v>
      </c>
      <c r="D140" s="11" t="s">
        <v>427</v>
      </c>
      <c r="E140" s="12" t="n">
        <v>71</v>
      </c>
      <c r="F140" s="13" t="n">
        <f aca="false">E140/(1+Forudsætninger!$B$3)</f>
        <v>56.8</v>
      </c>
      <c r="G140" s="14" t="n">
        <v>41.25</v>
      </c>
      <c r="H140" s="15" t="n">
        <f aca="false">IF(OR(G140="",F140=0),"",(F140-G140)/F140)</f>
        <v>0.273767605633803</v>
      </c>
      <c r="I140" s="11" t="str">
        <f aca="false">IF(G140="","UKENDT",IF(OR(E140=0,H140&lt;0),"KRITISK",IF(H140&lt;0.2,"HØJ",IF(H140&lt;0.35,"MIDDEL","OK"))))</f>
        <v>MIDDEL</v>
      </c>
      <c r="J140" s="12" t="n">
        <f aca="false">IF(G140="","",MAX(E140,CEILING(G140/(1-Forudsætninger!$B$4)*(1+Forudsætninger!$B$3),IF(G140/(1-Forudsætninger!$B$4)*(1+Forudsætninger!$B$3)&lt;50,1,IF(G140/(1-Forudsætninger!$B$4)*(1+Forudsætninger!$B$3)&lt;200,5,10)))))</f>
        <v>95</v>
      </c>
      <c r="K140" s="15" t="n">
        <f aca="false">IF(OR(J140="",E140=0),"",J140/E140-1)</f>
        <v>0.338028169014085</v>
      </c>
      <c r="L140" s="15" t="n">
        <f aca="false">IF(J140="","",(J140/(1+Forudsætninger!$B$3)-G140)/(J140/(1+Forudsætninger!$B$3)))</f>
        <v>0.457236842105263</v>
      </c>
      <c r="M140" s="11" t="s">
        <v>428</v>
      </c>
      <c r="N140" s="11"/>
    </row>
    <row r="141" customFormat="false" ht="15" hidden="false" customHeight="false" outlineLevel="0" collapsed="false">
      <c r="A141" s="11" t="s">
        <v>27</v>
      </c>
      <c r="B141" s="11" t="s">
        <v>264</v>
      </c>
      <c r="C141" s="11" t="s">
        <v>186</v>
      </c>
      <c r="D141" s="11" t="s">
        <v>429</v>
      </c>
      <c r="E141" s="12" t="n">
        <v>58</v>
      </c>
      <c r="F141" s="13" t="n">
        <f aca="false">E141/(1+Forudsætninger!$B$3)</f>
        <v>46.4</v>
      </c>
      <c r="G141" s="14" t="n">
        <v>33.484</v>
      </c>
      <c r="H141" s="15" t="n">
        <f aca="false">IF(OR(G141="",F141=0),"",(F141-G141)/F141)</f>
        <v>0.278362068965517</v>
      </c>
      <c r="I141" s="11" t="str">
        <f aca="false">IF(G141="","UKENDT",IF(OR(E141=0,H141&lt;0),"KRITISK",IF(H141&lt;0.2,"HØJ",IF(H141&lt;0.35,"MIDDEL","OK"))))</f>
        <v>MIDDEL</v>
      </c>
      <c r="J141" s="12" t="n">
        <f aca="false">IF(G141="","",MAX(E141,CEILING(G141/(1-Forudsætninger!$B$4)*(1+Forudsætninger!$B$3),IF(G141/(1-Forudsætninger!$B$4)*(1+Forudsætninger!$B$3)&lt;50,1,IF(G141/(1-Forudsætninger!$B$4)*(1+Forudsætninger!$B$3)&lt;200,5,10)))))</f>
        <v>80</v>
      </c>
      <c r="K141" s="15" t="n">
        <f aca="false">IF(OR(J141="",E141=0),"",J141/E141-1)</f>
        <v>0.379310344827586</v>
      </c>
      <c r="L141" s="15" t="n">
        <f aca="false">IF(J141="","",(J141/(1+Forudsætninger!$B$3)-G141)/(J141/(1+Forudsætninger!$B$3)))</f>
        <v>0.4768125</v>
      </c>
      <c r="M141" s="11" t="s">
        <v>430</v>
      </c>
      <c r="N141" s="11"/>
    </row>
    <row r="142" customFormat="false" ht="15" hidden="false" customHeight="false" outlineLevel="0" collapsed="false">
      <c r="A142" s="11" t="s">
        <v>27</v>
      </c>
      <c r="B142" s="11" t="s">
        <v>264</v>
      </c>
      <c r="C142" s="11" t="s">
        <v>165</v>
      </c>
      <c r="D142" s="11" t="s">
        <v>431</v>
      </c>
      <c r="E142" s="12" t="n">
        <v>52</v>
      </c>
      <c r="F142" s="13" t="n">
        <f aca="false">E142/(1+Forudsætninger!$B$3)</f>
        <v>41.6</v>
      </c>
      <c r="G142" s="14" t="n">
        <v>29.436</v>
      </c>
      <c r="H142" s="15" t="n">
        <f aca="false">IF(OR(G142="",F142=0),"",(F142-G142)/F142)</f>
        <v>0.292403846153846</v>
      </c>
      <c r="I142" s="11" t="str">
        <f aca="false">IF(G142="","UKENDT",IF(OR(E142=0,H142&lt;0),"KRITISK",IF(H142&lt;0.2,"HØJ",IF(H142&lt;0.35,"MIDDEL","OK"))))</f>
        <v>MIDDEL</v>
      </c>
      <c r="J142" s="12" t="n">
        <f aca="false">IF(G142="","",MAX(E142,CEILING(G142/(1-Forudsætninger!$B$4)*(1+Forudsætninger!$B$3),IF(G142/(1-Forudsætninger!$B$4)*(1+Forudsætninger!$B$3)&lt;50,1,IF(G142/(1-Forudsætninger!$B$4)*(1+Forudsætninger!$B$3)&lt;200,5,10)))))</f>
        <v>70</v>
      </c>
      <c r="K142" s="15" t="n">
        <f aca="false">IF(OR(J142="",E142=0),"",J142/E142-1)</f>
        <v>0.346153846153846</v>
      </c>
      <c r="L142" s="15" t="n">
        <f aca="false">IF(J142="","",(J142/(1+Forudsætninger!$B$3)-G142)/(J142/(1+Forudsætninger!$B$3)))</f>
        <v>0.474357142857143</v>
      </c>
      <c r="M142" s="11" t="s">
        <v>432</v>
      </c>
      <c r="N142" s="11"/>
    </row>
    <row r="143" customFormat="false" ht="15" hidden="false" customHeight="false" outlineLevel="0" collapsed="false">
      <c r="A143" s="11" t="s">
        <v>29</v>
      </c>
      <c r="B143" s="11" t="s">
        <v>170</v>
      </c>
      <c r="C143" s="11" t="s">
        <v>158</v>
      </c>
      <c r="D143" s="11" t="s">
        <v>433</v>
      </c>
      <c r="E143" s="12" t="n">
        <v>105</v>
      </c>
      <c r="F143" s="13" t="n">
        <f aca="false">E143/(1+Forudsætninger!$B$3)</f>
        <v>84</v>
      </c>
      <c r="G143" s="14" t="n">
        <v>59.4</v>
      </c>
      <c r="H143" s="15" t="n">
        <f aca="false">IF(OR(G143="",F143=0),"",(F143-G143)/F143)</f>
        <v>0.292857142857143</v>
      </c>
      <c r="I143" s="11" t="str">
        <f aca="false">IF(G143="","UKENDT",IF(OR(E143=0,H143&lt;0),"KRITISK",IF(H143&lt;0.2,"HØJ",IF(H143&lt;0.35,"MIDDEL","OK"))))</f>
        <v>MIDDEL</v>
      </c>
      <c r="J143" s="12" t="n">
        <f aca="false">IF(G143="","",MAX(E143,CEILING(G143/(1-Forudsætninger!$B$4)*(1+Forudsætninger!$B$3),IF(G143/(1-Forudsætninger!$B$4)*(1+Forudsætninger!$B$3)&lt;50,1,IF(G143/(1-Forudsætninger!$B$4)*(1+Forudsætninger!$B$3)&lt;200,5,10)))))</f>
        <v>135</v>
      </c>
      <c r="K143" s="15" t="n">
        <f aca="false">IF(OR(J143="",E143=0),"",J143/E143-1)</f>
        <v>0.285714285714286</v>
      </c>
      <c r="L143" s="15" t="n">
        <f aca="false">IF(J143="","",(J143/(1+Forudsætninger!$B$3)-G143)/(J143/(1+Forudsætninger!$B$3)))</f>
        <v>0.45</v>
      </c>
      <c r="M143" s="11" t="s">
        <v>434</v>
      </c>
      <c r="N143" s="11"/>
    </row>
    <row r="144" customFormat="false" ht="15" hidden="false" customHeight="false" outlineLevel="0" collapsed="false">
      <c r="A144" s="11" t="s">
        <v>33</v>
      </c>
      <c r="B144" s="11" t="s">
        <v>435</v>
      </c>
      <c r="C144" s="11" t="s">
        <v>436</v>
      </c>
      <c r="D144" s="11" t="s">
        <v>437</v>
      </c>
      <c r="E144" s="12" t="n">
        <v>38</v>
      </c>
      <c r="F144" s="13" t="n">
        <f aca="false">E144/(1+Forudsætninger!$B$3)</f>
        <v>30.4</v>
      </c>
      <c r="G144" s="14" t="n">
        <v>21.45</v>
      </c>
      <c r="H144" s="15" t="n">
        <f aca="false">IF(OR(G144="",F144=0),"",(F144-G144)/F144)</f>
        <v>0.294407894736842</v>
      </c>
      <c r="I144" s="11" t="str">
        <f aca="false">IF(G144="","UKENDT",IF(OR(E144=0,H144&lt;0),"KRITISK",IF(H144&lt;0.2,"HØJ",IF(H144&lt;0.35,"MIDDEL","OK"))))</f>
        <v>MIDDEL</v>
      </c>
      <c r="J144" s="12" t="n">
        <f aca="false">IF(G144="","",MAX(E144,CEILING(G144/(1-Forudsætninger!$B$4)*(1+Forudsætninger!$B$3),IF(G144/(1-Forudsætninger!$B$4)*(1+Forudsætninger!$B$3)&lt;50,1,IF(G144/(1-Forudsætninger!$B$4)*(1+Forudsætninger!$B$3)&lt;200,5,10)))))</f>
        <v>49</v>
      </c>
      <c r="K144" s="15" t="n">
        <f aca="false">IF(OR(J144="",E144=0),"",J144/E144-1)</f>
        <v>0.289473684210526</v>
      </c>
      <c r="L144" s="15" t="n">
        <f aca="false">IF(J144="","",(J144/(1+Forudsætninger!$B$3)-G144)/(J144/(1+Forudsætninger!$B$3)))</f>
        <v>0.45280612244898</v>
      </c>
      <c r="M144" s="11" t="s">
        <v>438</v>
      </c>
      <c r="N144" s="11"/>
    </row>
    <row r="145" customFormat="false" ht="15" hidden="false" customHeight="false" outlineLevel="0" collapsed="false">
      <c r="A145" s="11" t="s">
        <v>24</v>
      </c>
      <c r="B145" s="11" t="s">
        <v>439</v>
      </c>
      <c r="C145" s="11" t="s">
        <v>440</v>
      </c>
      <c r="D145" s="11" t="s">
        <v>441</v>
      </c>
      <c r="E145" s="12" t="n">
        <v>270</v>
      </c>
      <c r="F145" s="13" t="n">
        <f aca="false">E145/(1+Forudsætninger!$B$3)</f>
        <v>216</v>
      </c>
      <c r="G145" s="14" t="n">
        <v>150.7</v>
      </c>
      <c r="H145" s="15" t="n">
        <f aca="false">IF(OR(G145="",F145=0),"",(F145-G145)/F145)</f>
        <v>0.302314814814815</v>
      </c>
      <c r="I145" s="11" t="str">
        <f aca="false">IF(G145="","UKENDT",IF(OR(E145=0,H145&lt;0),"KRITISK",IF(H145&lt;0.2,"HØJ",IF(H145&lt;0.35,"MIDDEL","OK"))))</f>
        <v>MIDDEL</v>
      </c>
      <c r="J145" s="12" t="n">
        <f aca="false">IF(G145="","",MAX(E145,CEILING(G145/(1-Forudsætninger!$B$4)*(1+Forudsætninger!$B$3),IF(G145/(1-Forudsætninger!$B$4)*(1+Forudsætninger!$B$3)&lt;50,1,IF(G145/(1-Forudsætninger!$B$4)*(1+Forudsætninger!$B$3)&lt;200,5,10)))))</f>
        <v>350</v>
      </c>
      <c r="K145" s="15" t="n">
        <f aca="false">IF(OR(J145="",E145=0),"",J145/E145-1)</f>
        <v>0.296296296296296</v>
      </c>
      <c r="L145" s="15" t="n">
        <f aca="false">IF(J145="","",(J145/(1+Forudsætninger!$B$3)-G145)/(J145/(1+Forudsætninger!$B$3)))</f>
        <v>0.461785714285714</v>
      </c>
      <c r="M145" s="11" t="s">
        <v>442</v>
      </c>
      <c r="N145" s="11"/>
    </row>
    <row r="146" customFormat="false" ht="15" hidden="false" customHeight="false" outlineLevel="0" collapsed="false">
      <c r="A146" s="11" t="s">
        <v>24</v>
      </c>
      <c r="B146" s="11" t="s">
        <v>443</v>
      </c>
      <c r="C146" s="11" t="s">
        <v>440</v>
      </c>
      <c r="D146" s="11" t="s">
        <v>444</v>
      </c>
      <c r="E146" s="12" t="n">
        <v>270</v>
      </c>
      <c r="F146" s="13" t="n">
        <f aca="false">E146/(1+Forudsætninger!$B$3)</f>
        <v>216</v>
      </c>
      <c r="G146" s="14" t="n">
        <v>150.7</v>
      </c>
      <c r="H146" s="15" t="n">
        <f aca="false">IF(OR(G146="",F146=0),"",(F146-G146)/F146)</f>
        <v>0.302314814814815</v>
      </c>
      <c r="I146" s="11" t="str">
        <f aca="false">IF(G146="","UKENDT",IF(OR(E146=0,H146&lt;0),"KRITISK",IF(H146&lt;0.2,"HØJ",IF(H146&lt;0.35,"MIDDEL","OK"))))</f>
        <v>MIDDEL</v>
      </c>
      <c r="J146" s="12" t="n">
        <f aca="false">IF(G146="","",MAX(E146,CEILING(G146/(1-Forudsætninger!$B$4)*(1+Forudsætninger!$B$3),IF(G146/(1-Forudsætninger!$B$4)*(1+Forudsætninger!$B$3)&lt;50,1,IF(G146/(1-Forudsætninger!$B$4)*(1+Forudsætninger!$B$3)&lt;200,5,10)))))</f>
        <v>350</v>
      </c>
      <c r="K146" s="15" t="n">
        <f aca="false">IF(OR(J146="",E146=0),"",J146/E146-1)</f>
        <v>0.296296296296296</v>
      </c>
      <c r="L146" s="15" t="n">
        <f aca="false">IF(J146="","",(J146/(1+Forudsætninger!$B$3)-G146)/(J146/(1+Forudsætninger!$B$3)))</f>
        <v>0.461785714285714</v>
      </c>
      <c r="M146" s="11" t="s">
        <v>445</v>
      </c>
      <c r="N146" s="11"/>
    </row>
    <row r="147" customFormat="false" ht="15" hidden="false" customHeight="false" outlineLevel="0" collapsed="false">
      <c r="A147" s="11" t="s">
        <v>27</v>
      </c>
      <c r="B147" s="11" t="s">
        <v>352</v>
      </c>
      <c r="C147" s="11" t="s">
        <v>110</v>
      </c>
      <c r="D147" s="11" t="s">
        <v>446</v>
      </c>
      <c r="E147" s="12" t="n">
        <v>167</v>
      </c>
      <c r="F147" s="13" t="n">
        <f aca="false">E147/(1+Forudsætninger!$B$3)</f>
        <v>133.6</v>
      </c>
      <c r="G147" s="14" t="n">
        <v>92.4</v>
      </c>
      <c r="H147" s="15" t="n">
        <f aca="false">IF(OR(G147="",F147=0),"",(F147-G147)/F147)</f>
        <v>0.308383233532934</v>
      </c>
      <c r="I147" s="11" t="str">
        <f aca="false">IF(G147="","UKENDT",IF(OR(E147=0,H147&lt;0),"KRITISK",IF(H147&lt;0.2,"HØJ",IF(H147&lt;0.35,"MIDDEL","OK"))))</f>
        <v>MIDDEL</v>
      </c>
      <c r="J147" s="12" t="n">
        <f aca="false">IF(G147="","",MAX(E147,CEILING(G147/(1-Forudsætninger!$B$4)*(1+Forudsætninger!$B$3),IF(G147/(1-Forudsætninger!$B$4)*(1+Forudsætninger!$B$3)&lt;50,1,IF(G147/(1-Forudsætninger!$B$4)*(1+Forudsætninger!$B$3)&lt;200,5,10)))))</f>
        <v>210</v>
      </c>
      <c r="K147" s="15" t="n">
        <f aca="false">IF(OR(J147="",E147=0),"",J147/E147-1)</f>
        <v>0.25748502994012</v>
      </c>
      <c r="L147" s="15" t="n">
        <f aca="false">IF(J147="","",(J147/(1+Forudsætninger!$B$3)-G147)/(J147/(1+Forudsætninger!$B$3)))</f>
        <v>0.45</v>
      </c>
      <c r="M147" s="11" t="s">
        <v>447</v>
      </c>
      <c r="N147" s="11"/>
    </row>
    <row r="148" customFormat="false" ht="15" hidden="false" customHeight="false" outlineLevel="0" collapsed="false">
      <c r="A148" s="11" t="s">
        <v>27</v>
      </c>
      <c r="B148" s="11" t="s">
        <v>324</v>
      </c>
      <c r="C148" s="11" t="s">
        <v>148</v>
      </c>
      <c r="D148" s="11" t="s">
        <v>448</v>
      </c>
      <c r="E148" s="12" t="n">
        <v>89</v>
      </c>
      <c r="F148" s="13" t="n">
        <f aca="false">E148/(1+Forudsætninger!$B$3)</f>
        <v>71.2</v>
      </c>
      <c r="G148" s="14" t="n">
        <v>49.214</v>
      </c>
      <c r="H148" s="15" t="n">
        <f aca="false">IF(OR(G148="",F148=0),"",(F148-G148)/F148)</f>
        <v>0.308792134831461</v>
      </c>
      <c r="I148" s="11" t="str">
        <f aca="false">IF(G148="","UKENDT",IF(OR(E148=0,H148&lt;0),"KRITISK",IF(H148&lt;0.2,"HØJ",IF(H148&lt;0.35,"MIDDEL","OK"))))</f>
        <v>MIDDEL</v>
      </c>
      <c r="J148" s="12" t="n">
        <f aca="false">IF(G148="","",MAX(E148,CEILING(G148/(1-Forudsætninger!$B$4)*(1+Forudsætninger!$B$3),IF(G148/(1-Forudsætninger!$B$4)*(1+Forudsætninger!$B$3)&lt;50,1,IF(G148/(1-Forudsætninger!$B$4)*(1+Forudsætninger!$B$3)&lt;200,5,10)))))</f>
        <v>115</v>
      </c>
      <c r="K148" s="15" t="n">
        <f aca="false">IF(OR(J148="",E148=0),"",J148/E148-1)</f>
        <v>0.292134831460674</v>
      </c>
      <c r="L148" s="15" t="n">
        <f aca="false">IF(J148="","",(J148/(1+Forudsætninger!$B$3)-G148)/(J148/(1+Forudsætninger!$B$3)))</f>
        <v>0.465065217391304</v>
      </c>
      <c r="M148" s="11" t="s">
        <v>449</v>
      </c>
      <c r="N148" s="11"/>
    </row>
    <row r="149" customFormat="false" ht="15" hidden="false" customHeight="false" outlineLevel="0" collapsed="false">
      <c r="A149" s="11" t="s">
        <v>27</v>
      </c>
      <c r="B149" s="11" t="s">
        <v>450</v>
      </c>
      <c r="C149" s="11" t="s">
        <v>451</v>
      </c>
      <c r="D149" s="11" t="s">
        <v>452</v>
      </c>
      <c r="E149" s="12" t="n">
        <v>182</v>
      </c>
      <c r="F149" s="13" t="n">
        <f aca="false">E149/(1+Forudsætninger!$B$3)</f>
        <v>145.6</v>
      </c>
      <c r="G149" s="14" t="n">
        <v>100.43</v>
      </c>
      <c r="H149" s="15" t="n">
        <f aca="false">IF(OR(G149="",F149=0),"",(F149-G149)/F149)</f>
        <v>0.310233516483516</v>
      </c>
      <c r="I149" s="11" t="str">
        <f aca="false">IF(G149="","UKENDT",IF(OR(E149=0,H149&lt;0),"KRITISK",IF(H149&lt;0.2,"HØJ",IF(H149&lt;0.35,"MIDDEL","OK"))))</f>
        <v>MIDDEL</v>
      </c>
      <c r="J149" s="12" t="n">
        <f aca="false">IF(G149="","",MAX(E149,CEILING(G149/(1-Forudsætninger!$B$4)*(1+Forudsætninger!$B$3),IF(G149/(1-Forudsætninger!$B$4)*(1+Forudsætninger!$B$3)&lt;50,1,IF(G149/(1-Forudsætninger!$B$4)*(1+Forudsætninger!$B$3)&lt;200,5,10)))))</f>
        <v>230</v>
      </c>
      <c r="K149" s="15" t="n">
        <f aca="false">IF(OR(J149="",E149=0),"",J149/E149-1)</f>
        <v>0.263736263736264</v>
      </c>
      <c r="L149" s="15" t="n">
        <f aca="false">IF(J149="","",(J149/(1+Forudsætninger!$B$3)-G149)/(J149/(1+Forudsætninger!$B$3)))</f>
        <v>0.454184782608696</v>
      </c>
      <c r="M149" s="11" t="s">
        <v>453</v>
      </c>
      <c r="N149" s="11"/>
    </row>
    <row r="150" customFormat="false" ht="15" hidden="false" customHeight="false" outlineLevel="0" collapsed="false">
      <c r="A150" s="11" t="s">
        <v>27</v>
      </c>
      <c r="B150" s="11" t="s">
        <v>324</v>
      </c>
      <c r="C150" s="11" t="s">
        <v>100</v>
      </c>
      <c r="D150" s="11" t="s">
        <v>454</v>
      </c>
      <c r="E150" s="12" t="n">
        <v>43</v>
      </c>
      <c r="F150" s="13" t="n">
        <f aca="false">E150/(1+Forudsætninger!$B$3)</f>
        <v>34.4</v>
      </c>
      <c r="G150" s="14" t="n">
        <v>23.716</v>
      </c>
      <c r="H150" s="15" t="n">
        <f aca="false">IF(OR(G150="",F150=0),"",(F150-G150)/F150)</f>
        <v>0.310581395348837</v>
      </c>
      <c r="I150" s="11" t="str">
        <f aca="false">IF(G150="","UKENDT",IF(OR(E150=0,H150&lt;0),"KRITISK",IF(H150&lt;0.2,"HØJ",IF(H150&lt;0.35,"MIDDEL","OK"))))</f>
        <v>MIDDEL</v>
      </c>
      <c r="J150" s="12" t="n">
        <f aca="false">IF(G150="","",MAX(E150,CEILING(G150/(1-Forudsætninger!$B$4)*(1+Forudsætninger!$B$3),IF(G150/(1-Forudsætninger!$B$4)*(1+Forudsætninger!$B$3)&lt;50,1,IF(G150/(1-Forudsætninger!$B$4)*(1+Forudsætninger!$B$3)&lt;200,5,10)))))</f>
        <v>55</v>
      </c>
      <c r="K150" s="15" t="n">
        <f aca="false">IF(OR(J150="",E150=0),"",J150/E150-1)</f>
        <v>0.279069767441861</v>
      </c>
      <c r="L150" s="15" t="n">
        <f aca="false">IF(J150="","",(J150/(1+Forudsætninger!$B$3)-G150)/(J150/(1+Forudsætninger!$B$3)))</f>
        <v>0.461</v>
      </c>
      <c r="M150" s="11" t="s">
        <v>455</v>
      </c>
      <c r="N150" s="11"/>
    </row>
    <row r="151" customFormat="false" ht="15" hidden="false" customHeight="false" outlineLevel="0" collapsed="false">
      <c r="A151" s="11" t="s">
        <v>24</v>
      </c>
      <c r="B151" s="11" t="s">
        <v>456</v>
      </c>
      <c r="C151" s="11" t="s">
        <v>457</v>
      </c>
      <c r="D151" s="11" t="s">
        <v>458</v>
      </c>
      <c r="E151" s="12" t="n">
        <v>14</v>
      </c>
      <c r="F151" s="13" t="n">
        <f aca="false">E151/(1+Forudsætninger!$B$3)</f>
        <v>11.2</v>
      </c>
      <c r="G151" s="14" t="n">
        <v>7.7</v>
      </c>
      <c r="H151" s="15" t="n">
        <f aca="false">IF(OR(G151="",F151=0),"",(F151-G151)/F151)</f>
        <v>0.3125</v>
      </c>
      <c r="I151" s="11" t="str">
        <f aca="false">IF(G151="","UKENDT",IF(OR(E151=0,H151&lt;0),"KRITISK",IF(H151&lt;0.2,"HØJ",IF(H151&lt;0.35,"MIDDEL","OK"))))</f>
        <v>MIDDEL</v>
      </c>
      <c r="J151" s="12" t="n">
        <f aca="false">IF(G151="","",MAX(E151,CEILING(G151/(1-Forudsætninger!$B$4)*(1+Forudsætninger!$B$3),IF(G151/(1-Forudsætninger!$B$4)*(1+Forudsætninger!$B$3)&lt;50,1,IF(G151/(1-Forudsætninger!$B$4)*(1+Forudsætninger!$B$3)&lt;200,5,10)))))</f>
        <v>18</v>
      </c>
      <c r="K151" s="15" t="n">
        <f aca="false">IF(OR(J151="",E151=0),"",J151/E151-1)</f>
        <v>0.285714285714286</v>
      </c>
      <c r="L151" s="15" t="n">
        <f aca="false">IF(J151="","",(J151/(1+Forudsætninger!$B$3)-G151)/(J151/(1+Forudsætninger!$B$3)))</f>
        <v>0.465277777777778</v>
      </c>
      <c r="M151" s="11" t="s">
        <v>459</v>
      </c>
      <c r="N151" s="11"/>
    </row>
    <row r="152" customFormat="false" ht="15" hidden="false" customHeight="false" outlineLevel="0" collapsed="false">
      <c r="A152" s="11" t="s">
        <v>27</v>
      </c>
      <c r="B152" s="11" t="s">
        <v>460</v>
      </c>
      <c r="C152" s="11" t="s">
        <v>110</v>
      </c>
      <c r="D152" s="11" t="s">
        <v>461</v>
      </c>
      <c r="E152" s="12" t="n">
        <v>104</v>
      </c>
      <c r="F152" s="13" t="n">
        <f aca="false">E152/(1+Forudsætninger!$B$3)</f>
        <v>83.2</v>
      </c>
      <c r="G152" s="14" t="n">
        <v>57.2</v>
      </c>
      <c r="H152" s="15" t="n">
        <f aca="false">IF(OR(G152="",F152=0),"",(F152-G152)/F152)</f>
        <v>0.3125</v>
      </c>
      <c r="I152" s="11" t="str">
        <f aca="false">IF(G152="","UKENDT",IF(OR(E152=0,H152&lt;0),"KRITISK",IF(H152&lt;0.2,"HØJ",IF(H152&lt;0.35,"MIDDEL","OK"))))</f>
        <v>MIDDEL</v>
      </c>
      <c r="J152" s="12" t="n">
        <f aca="false">IF(G152="","",MAX(E152,CEILING(G152/(1-Forudsætninger!$B$4)*(1+Forudsætninger!$B$3),IF(G152/(1-Forudsætninger!$B$4)*(1+Forudsætninger!$B$3)&lt;50,1,IF(G152/(1-Forudsætninger!$B$4)*(1+Forudsætninger!$B$3)&lt;200,5,10)))))</f>
        <v>130</v>
      </c>
      <c r="K152" s="15" t="n">
        <f aca="false">IF(OR(J152="",E152=0),"",J152/E152-1)</f>
        <v>0.25</v>
      </c>
      <c r="L152" s="15" t="n">
        <f aca="false">IF(J152="","",(J152/(1+Forudsætninger!$B$3)-G152)/(J152/(1+Forudsætninger!$B$3)))</f>
        <v>0.45</v>
      </c>
      <c r="M152" s="11" t="s">
        <v>462</v>
      </c>
      <c r="N152" s="11"/>
    </row>
    <row r="153" customFormat="false" ht="15" hidden="false" customHeight="false" outlineLevel="0" collapsed="false">
      <c r="A153" s="11" t="s">
        <v>24</v>
      </c>
      <c r="B153" s="11" t="s">
        <v>456</v>
      </c>
      <c r="C153" s="11" t="s">
        <v>463</v>
      </c>
      <c r="D153" s="11" t="s">
        <v>464</v>
      </c>
      <c r="E153" s="12" t="n">
        <v>18</v>
      </c>
      <c r="F153" s="13" t="n">
        <f aca="false">E153/(1+Forudsætninger!$B$3)</f>
        <v>14.4</v>
      </c>
      <c r="G153" s="14" t="n">
        <v>9.9</v>
      </c>
      <c r="H153" s="15" t="n">
        <f aca="false">IF(OR(G153="",F153=0),"",(F153-G153)/F153)</f>
        <v>0.3125</v>
      </c>
      <c r="I153" s="11" t="str">
        <f aca="false">IF(G153="","UKENDT",IF(OR(E153=0,H153&lt;0),"KRITISK",IF(H153&lt;0.2,"HØJ",IF(H153&lt;0.35,"MIDDEL","OK"))))</f>
        <v>MIDDEL</v>
      </c>
      <c r="J153" s="12" t="n">
        <f aca="false">IF(G153="","",MAX(E153,CEILING(G153/(1-Forudsætninger!$B$4)*(1+Forudsætninger!$B$3),IF(G153/(1-Forudsætninger!$B$4)*(1+Forudsætninger!$B$3)&lt;50,1,IF(G153/(1-Forudsætninger!$B$4)*(1+Forudsætninger!$B$3)&lt;200,5,10)))))</f>
        <v>23</v>
      </c>
      <c r="K153" s="15" t="n">
        <f aca="false">IF(OR(J153="",E153=0),"",J153/E153-1)</f>
        <v>0.277777777777778</v>
      </c>
      <c r="L153" s="15" t="n">
        <f aca="false">IF(J153="","",(J153/(1+Forudsætninger!$B$3)-G153)/(J153/(1+Forudsætninger!$B$3)))</f>
        <v>0.46195652173913</v>
      </c>
      <c r="M153" s="11" t="s">
        <v>465</v>
      </c>
      <c r="N153" s="11"/>
    </row>
    <row r="154" customFormat="false" ht="15" hidden="false" customHeight="false" outlineLevel="0" collapsed="false">
      <c r="A154" s="11" t="s">
        <v>29</v>
      </c>
      <c r="B154" s="11" t="s">
        <v>466</v>
      </c>
      <c r="C154" s="11" t="s">
        <v>89</v>
      </c>
      <c r="D154" s="11" t="s">
        <v>467</v>
      </c>
      <c r="E154" s="12" t="n">
        <v>98</v>
      </c>
      <c r="F154" s="13" t="n">
        <f aca="false">E154/(1+Forudsætninger!$B$3)</f>
        <v>78.4</v>
      </c>
      <c r="G154" s="14" t="n">
        <v>53.9</v>
      </c>
      <c r="H154" s="15" t="n">
        <f aca="false">IF(OR(G154="",F154=0),"",(F154-G154)/F154)</f>
        <v>0.3125</v>
      </c>
      <c r="I154" s="11" t="str">
        <f aca="false">IF(G154="","UKENDT",IF(OR(E154=0,H154&lt;0),"KRITISK",IF(H154&lt;0.2,"HØJ",IF(H154&lt;0.35,"MIDDEL","OK"))))</f>
        <v>MIDDEL</v>
      </c>
      <c r="J154" s="12" t="n">
        <f aca="false">IF(G154="","",MAX(E154,CEILING(G154/(1-Forudsætninger!$B$4)*(1+Forudsætninger!$B$3),IF(G154/(1-Forudsætninger!$B$4)*(1+Forudsætninger!$B$3)&lt;50,1,IF(G154/(1-Forudsætninger!$B$4)*(1+Forudsætninger!$B$3)&lt;200,5,10)))))</f>
        <v>125</v>
      </c>
      <c r="K154" s="15" t="n">
        <f aca="false">IF(OR(J154="",E154=0),"",J154/E154-1)</f>
        <v>0.275510204081633</v>
      </c>
      <c r="L154" s="15" t="n">
        <f aca="false">IF(J154="","",(J154/(1+Forudsætninger!$B$3)-G154)/(J154/(1+Forudsætninger!$B$3)))</f>
        <v>0.461</v>
      </c>
      <c r="M154" s="11" t="s">
        <v>468</v>
      </c>
      <c r="N154" s="11"/>
    </row>
    <row r="155" customFormat="false" ht="15" hidden="false" customHeight="false" outlineLevel="0" collapsed="false">
      <c r="A155" s="11" t="s">
        <v>27</v>
      </c>
      <c r="B155" s="11" t="s">
        <v>469</v>
      </c>
      <c r="C155" s="11" t="s">
        <v>110</v>
      </c>
      <c r="D155" s="11" t="s">
        <v>470</v>
      </c>
      <c r="E155" s="12" t="n">
        <v>173</v>
      </c>
      <c r="F155" s="13" t="n">
        <f aca="false">E155/(1+Forudsætninger!$B$3)</f>
        <v>138.4</v>
      </c>
      <c r="G155" s="14" t="n">
        <v>94.49</v>
      </c>
      <c r="H155" s="15" t="n">
        <f aca="false">IF(OR(G155="",F155=0),"",(F155-G155)/F155)</f>
        <v>0.317268786127168</v>
      </c>
      <c r="I155" s="11" t="str">
        <f aca="false">IF(G155="","UKENDT",IF(OR(E155=0,H155&lt;0),"KRITISK",IF(H155&lt;0.2,"HØJ",IF(H155&lt;0.35,"MIDDEL","OK"))))</f>
        <v>MIDDEL</v>
      </c>
      <c r="J155" s="12" t="n">
        <f aca="false">IF(G155="","",MAX(E155,CEILING(G155/(1-Forudsætninger!$B$4)*(1+Forudsætninger!$B$3),IF(G155/(1-Forudsætninger!$B$4)*(1+Forudsætninger!$B$3)&lt;50,1,IF(G155/(1-Forudsætninger!$B$4)*(1+Forudsætninger!$B$3)&lt;200,5,10)))))</f>
        <v>220</v>
      </c>
      <c r="K155" s="15" t="n">
        <f aca="false">IF(OR(J155="",E155=0),"",J155/E155-1)</f>
        <v>0.271676300578035</v>
      </c>
      <c r="L155" s="15" t="n">
        <f aca="false">IF(J155="","",(J155/(1+Forudsætninger!$B$3)-G155)/(J155/(1+Forudsætninger!$B$3)))</f>
        <v>0.463125</v>
      </c>
      <c r="M155" s="11" t="s">
        <v>471</v>
      </c>
      <c r="N155" s="11"/>
    </row>
    <row r="156" customFormat="false" ht="15" hidden="false" customHeight="false" outlineLevel="0" collapsed="false">
      <c r="A156" s="11" t="s">
        <v>27</v>
      </c>
      <c r="B156" s="11" t="s">
        <v>472</v>
      </c>
      <c r="C156" s="11" t="s">
        <v>451</v>
      </c>
      <c r="D156" s="11" t="s">
        <v>473</v>
      </c>
      <c r="E156" s="12" t="n">
        <v>186</v>
      </c>
      <c r="F156" s="13" t="n">
        <f aca="false">E156/(1+Forudsætninger!$B$3)</f>
        <v>148.8</v>
      </c>
      <c r="G156" s="14" t="n">
        <v>100.43</v>
      </c>
      <c r="H156" s="15" t="n">
        <f aca="false">IF(OR(G156="",F156=0),"",(F156-G156)/F156)</f>
        <v>0.325067204301075</v>
      </c>
      <c r="I156" s="11" t="str">
        <f aca="false">IF(G156="","UKENDT",IF(OR(E156=0,H156&lt;0),"KRITISK",IF(H156&lt;0.2,"HØJ",IF(H156&lt;0.35,"MIDDEL","OK"))))</f>
        <v>MIDDEL</v>
      </c>
      <c r="J156" s="12" t="n">
        <f aca="false">IF(G156="","",MAX(E156,CEILING(G156/(1-Forudsætninger!$B$4)*(1+Forudsætninger!$B$3),IF(G156/(1-Forudsætninger!$B$4)*(1+Forudsætninger!$B$3)&lt;50,1,IF(G156/(1-Forudsætninger!$B$4)*(1+Forudsætninger!$B$3)&lt;200,5,10)))))</f>
        <v>230</v>
      </c>
      <c r="K156" s="15" t="n">
        <f aca="false">IF(OR(J156="",E156=0),"",J156/E156-1)</f>
        <v>0.236559139784946</v>
      </c>
      <c r="L156" s="15" t="n">
        <f aca="false">IF(J156="","",(J156/(1+Forudsætninger!$B$3)-G156)/(J156/(1+Forudsætninger!$B$3)))</f>
        <v>0.454184782608696</v>
      </c>
      <c r="M156" s="11" t="s">
        <v>474</v>
      </c>
      <c r="N156" s="11"/>
    </row>
    <row r="157" customFormat="false" ht="15" hidden="false" customHeight="false" outlineLevel="0" collapsed="false">
      <c r="A157" s="11" t="s">
        <v>27</v>
      </c>
      <c r="B157" s="11" t="s">
        <v>475</v>
      </c>
      <c r="C157" s="11" t="s">
        <v>110</v>
      </c>
      <c r="D157" s="11" t="s">
        <v>476</v>
      </c>
      <c r="E157" s="12" t="n">
        <v>175</v>
      </c>
      <c r="F157" s="13" t="n">
        <f aca="false">E157/(1+Forudsætninger!$B$3)</f>
        <v>140</v>
      </c>
      <c r="G157" s="14" t="n">
        <v>94.49</v>
      </c>
      <c r="H157" s="15" t="n">
        <f aca="false">IF(OR(G157="",F157=0),"",(F157-G157)/F157)</f>
        <v>0.325071428571429</v>
      </c>
      <c r="I157" s="11" t="str">
        <f aca="false">IF(G157="","UKENDT",IF(OR(E157=0,H157&lt;0),"KRITISK",IF(H157&lt;0.2,"HØJ",IF(H157&lt;0.35,"MIDDEL","OK"))))</f>
        <v>MIDDEL</v>
      </c>
      <c r="J157" s="12" t="n">
        <f aca="false">IF(G157="","",MAX(E157,CEILING(G157/(1-Forudsætninger!$B$4)*(1+Forudsætninger!$B$3),IF(G157/(1-Forudsætninger!$B$4)*(1+Forudsætninger!$B$3)&lt;50,1,IF(G157/(1-Forudsætninger!$B$4)*(1+Forudsætninger!$B$3)&lt;200,5,10)))))</f>
        <v>220</v>
      </c>
      <c r="K157" s="15" t="n">
        <f aca="false">IF(OR(J157="",E157=0),"",J157/E157-1)</f>
        <v>0.257142857142857</v>
      </c>
      <c r="L157" s="15" t="n">
        <f aca="false">IF(J157="","",(J157/(1+Forudsætninger!$B$3)-G157)/(J157/(1+Forudsætninger!$B$3)))</f>
        <v>0.463125</v>
      </c>
      <c r="M157" s="11" t="s">
        <v>477</v>
      </c>
      <c r="N157" s="11"/>
    </row>
    <row r="158" customFormat="false" ht="15" hidden="false" customHeight="false" outlineLevel="0" collapsed="false">
      <c r="A158" s="11" t="s">
        <v>33</v>
      </c>
      <c r="B158" s="11" t="s">
        <v>478</v>
      </c>
      <c r="C158" s="11" t="s">
        <v>479</v>
      </c>
      <c r="D158" s="11" t="s">
        <v>480</v>
      </c>
      <c r="E158" s="12" t="n">
        <v>92</v>
      </c>
      <c r="F158" s="13" t="n">
        <f aca="false">E158/(1+Forudsætninger!$B$3)</f>
        <v>73.6</v>
      </c>
      <c r="G158" s="14" t="n">
        <v>49.5</v>
      </c>
      <c r="H158" s="15" t="n">
        <f aca="false">IF(OR(G158="",F158=0),"",(F158-G158)/F158)</f>
        <v>0.327445652173913</v>
      </c>
      <c r="I158" s="11" t="str">
        <f aca="false">IF(G158="","UKENDT",IF(OR(E158=0,H158&lt;0),"KRITISK",IF(H158&lt;0.2,"HØJ",IF(H158&lt;0.35,"MIDDEL","OK"))))</f>
        <v>MIDDEL</v>
      </c>
      <c r="J158" s="12" t="n">
        <f aca="false">IF(G158="","",MAX(E158,CEILING(G158/(1-Forudsætninger!$B$4)*(1+Forudsætninger!$B$3),IF(G158/(1-Forudsætninger!$B$4)*(1+Forudsætninger!$B$3)&lt;50,1,IF(G158/(1-Forudsætninger!$B$4)*(1+Forudsætninger!$B$3)&lt;200,5,10)))))</f>
        <v>115</v>
      </c>
      <c r="K158" s="15" t="n">
        <f aca="false">IF(OR(J158="",E158=0),"",J158/E158-1)</f>
        <v>0.25</v>
      </c>
      <c r="L158" s="15" t="n">
        <f aca="false">IF(J158="","",(J158/(1+Forudsætninger!$B$3)-G158)/(J158/(1+Forudsætninger!$B$3)))</f>
        <v>0.46195652173913</v>
      </c>
      <c r="M158" s="11" t="s">
        <v>481</v>
      </c>
      <c r="N158" s="11"/>
    </row>
    <row r="159" customFormat="false" ht="15" hidden="false" customHeight="false" outlineLevel="0" collapsed="false">
      <c r="A159" s="11" t="s">
        <v>27</v>
      </c>
      <c r="B159" s="11" t="s">
        <v>482</v>
      </c>
      <c r="C159" s="11" t="s">
        <v>186</v>
      </c>
      <c r="D159" s="11" t="s">
        <v>483</v>
      </c>
      <c r="E159" s="12" t="n">
        <v>182</v>
      </c>
      <c r="F159" s="13" t="n">
        <f aca="false">E159/(1+Forudsætninger!$B$3)</f>
        <v>145.6</v>
      </c>
      <c r="G159" s="14" t="n">
        <v>96.8</v>
      </c>
      <c r="H159" s="15" t="n">
        <f aca="false">IF(OR(G159="",F159=0),"",(F159-G159)/F159)</f>
        <v>0.335164835164835</v>
      </c>
      <c r="I159" s="11" t="str">
        <f aca="false">IF(G159="","UKENDT",IF(OR(E159=0,H159&lt;0),"KRITISK",IF(H159&lt;0.2,"HØJ",IF(H159&lt;0.35,"MIDDEL","OK"))))</f>
        <v>MIDDEL</v>
      </c>
      <c r="J159" s="12" t="n">
        <f aca="false">IF(G159="","",MAX(E159,CEILING(G159/(1-Forudsætninger!$B$4)*(1+Forudsætninger!$B$3),IF(G159/(1-Forudsætninger!$B$4)*(1+Forudsætninger!$B$3)&lt;50,1,IF(G159/(1-Forudsætninger!$B$4)*(1+Forudsætninger!$B$3)&lt;200,5,10)))))</f>
        <v>220</v>
      </c>
      <c r="K159" s="15" t="n">
        <f aca="false">IF(OR(J159="",E159=0),"",J159/E159-1)</f>
        <v>0.208791208791209</v>
      </c>
      <c r="L159" s="15" t="n">
        <f aca="false">IF(J159="","",(J159/(1+Forudsætninger!$B$3)-G159)/(J159/(1+Forudsætninger!$B$3)))</f>
        <v>0.45</v>
      </c>
      <c r="M159" s="11" t="s">
        <v>484</v>
      </c>
      <c r="N159" s="11"/>
    </row>
    <row r="160" customFormat="false" ht="15" hidden="false" customHeight="false" outlineLevel="0" collapsed="false">
      <c r="A160" s="11" t="s">
        <v>27</v>
      </c>
      <c r="B160" s="11" t="s">
        <v>485</v>
      </c>
      <c r="C160" s="11" t="s">
        <v>110</v>
      </c>
      <c r="D160" s="11" t="s">
        <v>486</v>
      </c>
      <c r="E160" s="12" t="n">
        <v>179</v>
      </c>
      <c r="F160" s="13" t="n">
        <f aca="false">E160/(1+Forudsætninger!$B$3)</f>
        <v>143.2</v>
      </c>
      <c r="G160" s="14" t="n">
        <v>94.49</v>
      </c>
      <c r="H160" s="15" t="n">
        <f aca="false">IF(OR(G160="",F160=0),"",(F160-G160)/F160)</f>
        <v>0.340153631284916</v>
      </c>
      <c r="I160" s="11" t="str">
        <f aca="false">IF(G160="","UKENDT",IF(OR(E160=0,H160&lt;0),"KRITISK",IF(H160&lt;0.2,"HØJ",IF(H160&lt;0.35,"MIDDEL","OK"))))</f>
        <v>MIDDEL</v>
      </c>
      <c r="J160" s="12" t="n">
        <f aca="false">IF(G160="","",MAX(E160,CEILING(G160/(1-Forudsætninger!$B$4)*(1+Forudsætninger!$B$3),IF(G160/(1-Forudsætninger!$B$4)*(1+Forudsætninger!$B$3)&lt;50,1,IF(G160/(1-Forudsætninger!$B$4)*(1+Forudsætninger!$B$3)&lt;200,5,10)))))</f>
        <v>220</v>
      </c>
      <c r="K160" s="15" t="n">
        <f aca="false">IF(OR(J160="",E160=0),"",J160/E160-1)</f>
        <v>0.229050279329609</v>
      </c>
      <c r="L160" s="15" t="n">
        <f aca="false">IF(J160="","",(J160/(1+Forudsætninger!$B$3)-G160)/(J160/(1+Forudsætninger!$B$3)))</f>
        <v>0.463125</v>
      </c>
      <c r="M160" s="11" t="s">
        <v>487</v>
      </c>
      <c r="N160" s="11"/>
    </row>
    <row r="161" customFormat="false" ht="15" hidden="false" customHeight="false" outlineLevel="0" collapsed="false">
      <c r="A161" s="11" t="s">
        <v>25</v>
      </c>
      <c r="B161" s="11" t="s">
        <v>488</v>
      </c>
      <c r="C161" s="11" t="s">
        <v>489</v>
      </c>
      <c r="D161" s="11" t="s">
        <v>490</v>
      </c>
      <c r="E161" s="12" t="n">
        <v>23</v>
      </c>
      <c r="F161" s="13" t="n">
        <f aca="false">E161/(1+Forudsætninger!$B$3)</f>
        <v>18.4</v>
      </c>
      <c r="G161" s="14" t="n">
        <v>12.1</v>
      </c>
      <c r="H161" s="15" t="n">
        <f aca="false">IF(OR(G161="",F161=0),"",(F161-G161)/F161)</f>
        <v>0.342391304347826</v>
      </c>
      <c r="I161" s="11" t="str">
        <f aca="false">IF(G161="","UKENDT",IF(OR(E161=0,H161&lt;0),"KRITISK",IF(H161&lt;0.2,"HØJ",IF(H161&lt;0.35,"MIDDEL","OK"))))</f>
        <v>MIDDEL</v>
      </c>
      <c r="J161" s="12" t="n">
        <f aca="false">IF(G161="","",MAX(E161,CEILING(G161/(1-Forudsætninger!$B$4)*(1+Forudsætninger!$B$3),IF(G161/(1-Forudsætninger!$B$4)*(1+Forudsætninger!$B$3)&lt;50,1,IF(G161/(1-Forudsætninger!$B$4)*(1+Forudsætninger!$B$3)&lt;200,5,10)))))</f>
        <v>28</v>
      </c>
      <c r="K161" s="15" t="n">
        <f aca="false">IF(OR(J161="",E161=0),"",J161/E161-1)</f>
        <v>0.217391304347826</v>
      </c>
      <c r="L161" s="15" t="n">
        <f aca="false">IF(J161="","",(J161/(1+Forudsætninger!$B$3)-G161)/(J161/(1+Forudsætninger!$B$3)))</f>
        <v>0.459821428571429</v>
      </c>
      <c r="M161" s="11" t="s">
        <v>491</v>
      </c>
      <c r="N161" s="11"/>
    </row>
    <row r="162" customFormat="false" ht="15" hidden="false" customHeight="false" outlineLevel="0" collapsed="false">
      <c r="A162" s="11" t="s">
        <v>25</v>
      </c>
      <c r="B162" s="11" t="s">
        <v>488</v>
      </c>
      <c r="C162" s="11" t="s">
        <v>492</v>
      </c>
      <c r="D162" s="11" t="s">
        <v>493</v>
      </c>
      <c r="E162" s="12" t="n">
        <v>23</v>
      </c>
      <c r="F162" s="13" t="n">
        <f aca="false">E162/(1+Forudsætninger!$B$3)</f>
        <v>18.4</v>
      </c>
      <c r="G162" s="14" t="n">
        <v>12.1</v>
      </c>
      <c r="H162" s="15" t="n">
        <f aca="false">IF(OR(G162="",F162=0),"",(F162-G162)/F162)</f>
        <v>0.342391304347826</v>
      </c>
      <c r="I162" s="11" t="str">
        <f aca="false">IF(G162="","UKENDT",IF(OR(E162=0,H162&lt;0),"KRITISK",IF(H162&lt;0.2,"HØJ",IF(H162&lt;0.35,"MIDDEL","OK"))))</f>
        <v>MIDDEL</v>
      </c>
      <c r="J162" s="12" t="n">
        <f aca="false">IF(G162="","",MAX(E162,CEILING(G162/(1-Forudsætninger!$B$4)*(1+Forudsætninger!$B$3),IF(G162/(1-Forudsætninger!$B$4)*(1+Forudsætninger!$B$3)&lt;50,1,IF(G162/(1-Forudsætninger!$B$4)*(1+Forudsætninger!$B$3)&lt;200,5,10)))))</f>
        <v>28</v>
      </c>
      <c r="K162" s="15" t="n">
        <f aca="false">IF(OR(J162="",E162=0),"",J162/E162-1)</f>
        <v>0.217391304347826</v>
      </c>
      <c r="L162" s="15" t="n">
        <f aca="false">IF(J162="","",(J162/(1+Forudsætninger!$B$3)-G162)/(J162/(1+Forudsætninger!$B$3)))</f>
        <v>0.459821428571429</v>
      </c>
      <c r="M162" s="11" t="s">
        <v>494</v>
      </c>
      <c r="N162" s="11"/>
    </row>
    <row r="163" customFormat="false" ht="15" hidden="false" customHeight="false" outlineLevel="0" collapsed="false">
      <c r="A163" s="11" t="s">
        <v>25</v>
      </c>
      <c r="B163" s="11" t="s">
        <v>488</v>
      </c>
      <c r="C163" s="11" t="s">
        <v>495</v>
      </c>
      <c r="D163" s="11" t="s">
        <v>496</v>
      </c>
      <c r="E163" s="12" t="n">
        <v>23</v>
      </c>
      <c r="F163" s="13" t="n">
        <f aca="false">E163/(1+Forudsætninger!$B$3)</f>
        <v>18.4</v>
      </c>
      <c r="G163" s="14" t="n">
        <v>12.1</v>
      </c>
      <c r="H163" s="15" t="n">
        <f aca="false">IF(OR(G163="",F163=0),"",(F163-G163)/F163)</f>
        <v>0.342391304347826</v>
      </c>
      <c r="I163" s="11" t="str">
        <f aca="false">IF(G163="","UKENDT",IF(OR(E163=0,H163&lt;0),"KRITISK",IF(H163&lt;0.2,"HØJ",IF(H163&lt;0.35,"MIDDEL","OK"))))</f>
        <v>MIDDEL</v>
      </c>
      <c r="J163" s="12" t="n">
        <f aca="false">IF(G163="","",MAX(E163,CEILING(G163/(1-Forudsætninger!$B$4)*(1+Forudsætninger!$B$3),IF(G163/(1-Forudsætninger!$B$4)*(1+Forudsætninger!$B$3)&lt;50,1,IF(G163/(1-Forudsætninger!$B$4)*(1+Forudsætninger!$B$3)&lt;200,5,10)))))</f>
        <v>28</v>
      </c>
      <c r="K163" s="15" t="n">
        <f aca="false">IF(OR(J163="",E163=0),"",J163/E163-1)</f>
        <v>0.217391304347826</v>
      </c>
      <c r="L163" s="15" t="n">
        <f aca="false">IF(J163="","",(J163/(1+Forudsætninger!$B$3)-G163)/(J163/(1+Forudsætninger!$B$3)))</f>
        <v>0.459821428571429</v>
      </c>
      <c r="M163" s="11" t="s">
        <v>497</v>
      </c>
      <c r="N163" s="11"/>
    </row>
    <row r="164" customFormat="false" ht="15" hidden="false" customHeight="false" outlineLevel="0" collapsed="false">
      <c r="A164" s="11" t="s">
        <v>25</v>
      </c>
      <c r="B164" s="11" t="s">
        <v>488</v>
      </c>
      <c r="C164" s="11" t="s">
        <v>498</v>
      </c>
      <c r="D164" s="11" t="s">
        <v>499</v>
      </c>
      <c r="E164" s="12" t="n">
        <v>23</v>
      </c>
      <c r="F164" s="13" t="n">
        <f aca="false">E164/(1+Forudsætninger!$B$3)</f>
        <v>18.4</v>
      </c>
      <c r="G164" s="14" t="n">
        <v>12.1</v>
      </c>
      <c r="H164" s="15" t="n">
        <f aca="false">IF(OR(G164="",F164=0),"",(F164-G164)/F164)</f>
        <v>0.342391304347826</v>
      </c>
      <c r="I164" s="11" t="str">
        <f aca="false">IF(G164="","UKENDT",IF(OR(E164=0,H164&lt;0),"KRITISK",IF(H164&lt;0.2,"HØJ",IF(H164&lt;0.35,"MIDDEL","OK"))))</f>
        <v>MIDDEL</v>
      </c>
      <c r="J164" s="12" t="n">
        <f aca="false">IF(G164="","",MAX(E164,CEILING(G164/(1-Forudsætninger!$B$4)*(1+Forudsætninger!$B$3),IF(G164/(1-Forudsætninger!$B$4)*(1+Forudsætninger!$B$3)&lt;50,1,IF(G164/(1-Forudsætninger!$B$4)*(1+Forudsætninger!$B$3)&lt;200,5,10)))))</f>
        <v>28</v>
      </c>
      <c r="K164" s="15" t="n">
        <f aca="false">IF(OR(J164="",E164=0),"",J164/E164-1)</f>
        <v>0.217391304347826</v>
      </c>
      <c r="L164" s="15" t="n">
        <f aca="false">IF(J164="","",(J164/(1+Forudsætninger!$B$3)-G164)/(J164/(1+Forudsætninger!$B$3)))</f>
        <v>0.459821428571429</v>
      </c>
      <c r="M164" s="11" t="s">
        <v>500</v>
      </c>
      <c r="N164" s="11"/>
    </row>
    <row r="165" customFormat="false" ht="15" hidden="false" customHeight="false" outlineLevel="0" collapsed="false">
      <c r="A165" s="11" t="s">
        <v>24</v>
      </c>
      <c r="B165" s="11" t="s">
        <v>456</v>
      </c>
      <c r="C165" s="11" t="s">
        <v>78</v>
      </c>
      <c r="D165" s="11" t="s">
        <v>501</v>
      </c>
      <c r="E165" s="12" t="n">
        <v>20</v>
      </c>
      <c r="F165" s="13" t="n">
        <f aca="false">E165/(1+Forudsætninger!$B$3)</f>
        <v>16</v>
      </c>
      <c r="G165" s="14" t="n">
        <v>10.45</v>
      </c>
      <c r="H165" s="15" t="n">
        <f aca="false">IF(OR(G165="",F165=0),"",(F165-G165)/F165)</f>
        <v>0.346875</v>
      </c>
      <c r="I165" s="11" t="str">
        <f aca="false">IF(G165="","UKENDT",IF(OR(E165=0,H165&lt;0),"KRITISK",IF(H165&lt;0.2,"HØJ",IF(H165&lt;0.35,"MIDDEL","OK"))))</f>
        <v>MIDDEL</v>
      </c>
      <c r="J165" s="12" t="n">
        <f aca="false">IF(G165="","",MAX(E165,CEILING(G165/(1-Forudsætninger!$B$4)*(1+Forudsætninger!$B$3),IF(G165/(1-Forudsætninger!$B$4)*(1+Forudsætninger!$B$3)&lt;50,1,IF(G165/(1-Forudsætninger!$B$4)*(1+Forudsætninger!$B$3)&lt;200,5,10)))))</f>
        <v>24</v>
      </c>
      <c r="K165" s="15" t="n">
        <f aca="false">IF(OR(J165="",E165=0),"",J165/E165-1)</f>
        <v>0.2</v>
      </c>
      <c r="L165" s="15" t="n">
        <f aca="false">IF(J165="","",(J165/(1+Forudsætninger!$B$3)-G165)/(J165/(1+Forudsætninger!$B$3)))</f>
        <v>0.455729166666667</v>
      </c>
      <c r="M165" s="11" t="s">
        <v>502</v>
      </c>
      <c r="N165" s="11"/>
    </row>
    <row r="166" customFormat="false" ht="15" hidden="false" customHeight="false" outlineLevel="0" collapsed="false">
      <c r="A166" s="11" t="s">
        <v>27</v>
      </c>
      <c r="B166" s="11" t="s">
        <v>469</v>
      </c>
      <c r="C166" s="11" t="s">
        <v>186</v>
      </c>
      <c r="D166" s="11" t="s">
        <v>503</v>
      </c>
      <c r="E166" s="12" t="n">
        <v>137</v>
      </c>
      <c r="F166" s="13" t="n">
        <f aca="false">E166/(1+Forudsætninger!$B$3)</f>
        <v>109.6</v>
      </c>
      <c r="G166" s="14" t="n">
        <v>71.5</v>
      </c>
      <c r="H166" s="15" t="n">
        <f aca="false">IF(OR(G166="",F166=0),"",(F166-G166)/F166)</f>
        <v>0.347627737226277</v>
      </c>
      <c r="I166" s="11" t="str">
        <f aca="false">IF(G166="","UKENDT",IF(OR(E166=0,H166&lt;0),"KRITISK",IF(H166&lt;0.2,"HØJ",IF(H166&lt;0.35,"MIDDEL","OK"))))</f>
        <v>MIDDEL</v>
      </c>
      <c r="J166" s="12" t="n">
        <f aca="false">IF(G166="","",MAX(E166,CEILING(G166/(1-Forudsætninger!$B$4)*(1+Forudsætninger!$B$3),IF(G166/(1-Forudsætninger!$B$4)*(1+Forudsætninger!$B$3)&lt;50,1,IF(G166/(1-Forudsætninger!$B$4)*(1+Forudsætninger!$B$3)&lt;200,5,10)))))</f>
        <v>165</v>
      </c>
      <c r="K166" s="15" t="n">
        <f aca="false">IF(OR(J166="",E166=0),"",J166/E166-1)</f>
        <v>0.204379562043796</v>
      </c>
      <c r="L166" s="15" t="n">
        <f aca="false">IF(J166="","",(J166/(1+Forudsætninger!$B$3)-G166)/(J166/(1+Forudsætninger!$B$3)))</f>
        <v>0.458333333333333</v>
      </c>
      <c r="M166" s="11" t="s">
        <v>504</v>
      </c>
      <c r="N166" s="11"/>
    </row>
    <row r="167" customFormat="false" ht="15" hidden="false" customHeight="false" outlineLevel="0" collapsed="false">
      <c r="A167" s="11" t="s">
        <v>27</v>
      </c>
      <c r="B167" s="11" t="s">
        <v>324</v>
      </c>
      <c r="C167" s="11" t="s">
        <v>189</v>
      </c>
      <c r="D167" s="11" t="s">
        <v>505</v>
      </c>
      <c r="E167" s="12" t="n">
        <v>50</v>
      </c>
      <c r="F167" s="13" t="n">
        <f aca="false">E167/(1+Forudsætninger!$B$3)</f>
        <v>40</v>
      </c>
      <c r="G167" s="14" t="n">
        <v>26.07</v>
      </c>
      <c r="H167" s="15" t="n">
        <f aca="false">IF(OR(G167="",F167=0),"",(F167-G167)/F167)</f>
        <v>0.34825</v>
      </c>
      <c r="I167" s="11" t="str">
        <f aca="false">IF(G167="","UKENDT",IF(OR(E167=0,H167&lt;0),"KRITISK",IF(H167&lt;0.2,"HØJ",IF(H167&lt;0.35,"MIDDEL","OK"))))</f>
        <v>MIDDEL</v>
      </c>
      <c r="J167" s="12" t="n">
        <f aca="false">IF(G167="","",MAX(E167,CEILING(G167/(1-Forudsætninger!$B$4)*(1+Forudsætninger!$B$3),IF(G167/(1-Forudsætninger!$B$4)*(1+Forudsætninger!$B$3)&lt;50,1,IF(G167/(1-Forudsætninger!$B$4)*(1+Forudsætninger!$B$3)&lt;200,5,10)))))</f>
        <v>60</v>
      </c>
      <c r="K167" s="15" t="n">
        <f aca="false">IF(OR(J167="",E167=0),"",J167/E167-1)</f>
        <v>0.2</v>
      </c>
      <c r="L167" s="15" t="n">
        <f aca="false">IF(J167="","",(J167/(1+Forudsætninger!$B$3)-G167)/(J167/(1+Forudsætninger!$B$3)))</f>
        <v>0.456875</v>
      </c>
      <c r="M167" s="11" t="s">
        <v>506</v>
      </c>
      <c r="N167" s="11"/>
    </row>
    <row r="168" customFormat="false" ht="15" hidden="false" customHeight="false" outlineLevel="0" collapsed="false">
      <c r="A168" s="11" t="s">
        <v>27</v>
      </c>
      <c r="B168" s="11" t="s">
        <v>507</v>
      </c>
      <c r="C168" s="11" t="s">
        <v>100</v>
      </c>
      <c r="D168" s="11" t="s">
        <v>508</v>
      </c>
      <c r="E168" s="12" t="n">
        <v>61</v>
      </c>
      <c r="F168" s="13" t="n">
        <f aca="false">E168/(1+Forudsætninger!$B$3)</f>
        <v>48.8</v>
      </c>
      <c r="G168" s="14" t="n">
        <v>31.57</v>
      </c>
      <c r="H168" s="15" t="n">
        <f aca="false">IF(OR(G168="",F168=0),"",(F168-G168)/F168)</f>
        <v>0.353073770491803</v>
      </c>
      <c r="I168" s="11" t="str">
        <f aca="false">IF(G168="","UKENDT",IF(OR(E168=0,H168&lt;0),"KRITISK",IF(H168&lt;0.2,"HØJ",IF(H168&lt;0.35,"MIDDEL","OK"))))</f>
        <v>OK</v>
      </c>
      <c r="J168" s="12" t="n">
        <f aca="false">IF(G168="","",MAX(E168,CEILING(G168/(1-Forudsætninger!$B$4)*(1+Forudsætninger!$B$3),IF(G168/(1-Forudsætninger!$B$4)*(1+Forudsætninger!$B$3)&lt;50,1,IF(G168/(1-Forudsætninger!$B$4)*(1+Forudsætninger!$B$3)&lt;200,5,10)))))</f>
        <v>75</v>
      </c>
      <c r="K168" s="15" t="n">
        <f aca="false">IF(OR(J168="",E168=0),"",J168/E168-1)</f>
        <v>0.229508196721312</v>
      </c>
      <c r="L168" s="15" t="n">
        <f aca="false">IF(J168="","",(J168/(1+Forudsætninger!$B$3)-G168)/(J168/(1+Forudsætninger!$B$3)))</f>
        <v>0.473833333333333</v>
      </c>
      <c r="M168" s="11" t="s">
        <v>509</v>
      </c>
      <c r="N168" s="11"/>
    </row>
    <row r="169" customFormat="false" ht="15" hidden="false" customHeight="false" outlineLevel="0" collapsed="false">
      <c r="A169" s="11" t="s">
        <v>27</v>
      </c>
      <c r="B169" s="11" t="s">
        <v>450</v>
      </c>
      <c r="C169" s="11" t="s">
        <v>510</v>
      </c>
      <c r="D169" s="11" t="s">
        <v>511</v>
      </c>
      <c r="E169" s="12" t="n">
        <v>120</v>
      </c>
      <c r="F169" s="13" t="n">
        <f aca="false">E169/(1+Forudsætninger!$B$3)</f>
        <v>96</v>
      </c>
      <c r="G169" s="14" t="n">
        <v>62.04</v>
      </c>
      <c r="H169" s="15" t="n">
        <f aca="false">IF(OR(G169="",F169=0),"",(F169-G169)/F169)</f>
        <v>0.35375</v>
      </c>
      <c r="I169" s="11" t="str">
        <f aca="false">IF(G169="","UKENDT",IF(OR(E169=0,H169&lt;0),"KRITISK",IF(H169&lt;0.2,"HØJ",IF(H169&lt;0.35,"MIDDEL","OK"))))</f>
        <v>OK</v>
      </c>
      <c r="J169" s="12" t="n">
        <f aca="false">IF(G169="","",MAX(E169,CEILING(G169/(1-Forudsætninger!$B$4)*(1+Forudsætninger!$B$3),IF(G169/(1-Forudsætninger!$B$4)*(1+Forudsætninger!$B$3)&lt;50,1,IF(G169/(1-Forudsætninger!$B$4)*(1+Forudsætninger!$B$3)&lt;200,5,10)))))</f>
        <v>145</v>
      </c>
      <c r="K169" s="15" t="n">
        <f aca="false">IF(OR(J169="",E169=0),"",J169/E169-1)</f>
        <v>0.208333333333333</v>
      </c>
      <c r="L169" s="15" t="n">
        <f aca="false">IF(J169="","",(J169/(1+Forudsætninger!$B$3)-G169)/(J169/(1+Forudsætninger!$B$3)))</f>
        <v>0.465172413793104</v>
      </c>
      <c r="M169" s="11" t="s">
        <v>512</v>
      </c>
      <c r="N169" s="11"/>
    </row>
    <row r="170" customFormat="false" ht="15" hidden="false" customHeight="false" outlineLevel="0" collapsed="false">
      <c r="A170" s="11" t="s">
        <v>32</v>
      </c>
      <c r="B170" s="11" t="s">
        <v>513</v>
      </c>
      <c r="C170" s="11" t="s">
        <v>47</v>
      </c>
      <c r="D170" s="11" t="s">
        <v>514</v>
      </c>
      <c r="E170" s="12" t="n">
        <v>150</v>
      </c>
      <c r="F170" s="13" t="n">
        <f aca="false">E170/(1+Forudsætninger!$B$3)</f>
        <v>120</v>
      </c>
      <c r="G170" s="14" t="n">
        <v>77</v>
      </c>
      <c r="H170" s="15" t="n">
        <f aca="false">IF(OR(G170="",F170=0),"",(F170-G170)/F170)</f>
        <v>0.358333333333333</v>
      </c>
      <c r="I170" s="11" t="str">
        <f aca="false">IF(G170="","UKENDT",IF(OR(E170=0,H170&lt;0),"KRITISK",IF(H170&lt;0.2,"HØJ",IF(H170&lt;0.35,"MIDDEL","OK"))))</f>
        <v>OK</v>
      </c>
      <c r="J170" s="12" t="n">
        <f aca="false">IF(G170="","",MAX(E170,CEILING(G170/(1-Forudsætninger!$B$4)*(1+Forudsætninger!$B$3),IF(G170/(1-Forudsætninger!$B$4)*(1+Forudsætninger!$B$3)&lt;50,1,IF(G170/(1-Forudsætninger!$B$4)*(1+Forudsætninger!$B$3)&lt;200,5,10)))))</f>
        <v>175</v>
      </c>
      <c r="K170" s="15" t="n">
        <f aca="false">IF(OR(J170="",E170=0),"",J170/E170-1)</f>
        <v>0.166666666666667</v>
      </c>
      <c r="L170" s="15" t="n">
        <f aca="false">IF(J170="","",(J170/(1+Forudsætninger!$B$3)-G170)/(J170/(1+Forudsætninger!$B$3)))</f>
        <v>0.45</v>
      </c>
      <c r="M170" s="11" t="s">
        <v>515</v>
      </c>
      <c r="N170" s="11"/>
    </row>
    <row r="171" customFormat="false" ht="15" hidden="false" customHeight="false" outlineLevel="0" collapsed="false">
      <c r="A171" s="11" t="s">
        <v>29</v>
      </c>
      <c r="B171" s="11" t="s">
        <v>342</v>
      </c>
      <c r="C171" s="11" t="s">
        <v>209</v>
      </c>
      <c r="D171" s="11" t="s">
        <v>516</v>
      </c>
      <c r="E171" s="12" t="n">
        <v>30</v>
      </c>
      <c r="F171" s="13" t="n">
        <f aca="false">E171/(1+Forudsætninger!$B$3)</f>
        <v>24</v>
      </c>
      <c r="G171" s="14" t="n">
        <v>15.334</v>
      </c>
      <c r="H171" s="15" t="n">
        <f aca="false">IF(OR(G171="",F171=0),"",(F171-G171)/F171)</f>
        <v>0.361083333333333</v>
      </c>
      <c r="I171" s="11" t="str">
        <f aca="false">IF(G171="","UKENDT",IF(OR(E171=0,H171&lt;0),"KRITISK",IF(H171&lt;0.2,"HØJ",IF(H171&lt;0.35,"MIDDEL","OK"))))</f>
        <v>OK</v>
      </c>
      <c r="J171" s="12" t="n">
        <f aca="false">IF(G171="","",MAX(E171,CEILING(G171/(1-Forudsætninger!$B$4)*(1+Forudsætninger!$B$3),IF(G171/(1-Forudsætninger!$B$4)*(1+Forudsætninger!$B$3)&lt;50,1,IF(G171/(1-Forudsætninger!$B$4)*(1+Forudsætninger!$B$3)&lt;200,5,10)))))</f>
        <v>35</v>
      </c>
      <c r="K171" s="15" t="n">
        <f aca="false">IF(OR(J171="",E171=0),"",J171/E171-1)</f>
        <v>0.166666666666667</v>
      </c>
      <c r="L171" s="15" t="n">
        <f aca="false">IF(J171="","",(J171/(1+Forudsætninger!$B$3)-G171)/(J171/(1+Forudsætninger!$B$3)))</f>
        <v>0.452357142857143</v>
      </c>
      <c r="M171" s="11" t="s">
        <v>517</v>
      </c>
      <c r="N171" s="11"/>
    </row>
    <row r="172" customFormat="false" ht="15" hidden="false" customHeight="false" outlineLevel="0" collapsed="false">
      <c r="A172" s="11" t="s">
        <v>27</v>
      </c>
      <c r="B172" s="11" t="s">
        <v>450</v>
      </c>
      <c r="C172" s="11" t="s">
        <v>518</v>
      </c>
      <c r="D172" s="11" t="s">
        <v>519</v>
      </c>
      <c r="E172" s="12" t="n">
        <v>169</v>
      </c>
      <c r="F172" s="13" t="n">
        <f aca="false">E172/(1+Forudsætninger!$B$3)</f>
        <v>135.2</v>
      </c>
      <c r="G172" s="14" t="n">
        <v>86.35</v>
      </c>
      <c r="H172" s="15" t="n">
        <f aca="false">IF(OR(G172="",F172=0),"",(F172-G172)/F172)</f>
        <v>0.361316568047337</v>
      </c>
      <c r="I172" s="11" t="str">
        <f aca="false">IF(G172="","UKENDT",IF(OR(E172=0,H172&lt;0),"KRITISK",IF(H172&lt;0.2,"HØJ",IF(H172&lt;0.35,"MIDDEL","OK"))))</f>
        <v>OK</v>
      </c>
      <c r="J172" s="12" t="n">
        <f aca="false">IF(G172="","",MAX(E172,CEILING(G172/(1-Forudsætninger!$B$4)*(1+Forudsætninger!$B$3),IF(G172/(1-Forudsætninger!$B$4)*(1+Forudsætninger!$B$3)&lt;50,1,IF(G172/(1-Forudsætninger!$B$4)*(1+Forudsætninger!$B$3)&lt;200,5,10)))))</f>
        <v>200</v>
      </c>
      <c r="K172" s="15" t="n">
        <f aca="false">IF(OR(J172="",E172=0),"",J172/E172-1)</f>
        <v>0.183431952662722</v>
      </c>
      <c r="L172" s="15" t="n">
        <f aca="false">IF(J172="","",(J172/(1+Forudsætninger!$B$3)-G172)/(J172/(1+Forudsætninger!$B$3)))</f>
        <v>0.4603125</v>
      </c>
      <c r="M172" s="11" t="s">
        <v>520</v>
      </c>
      <c r="N172" s="11"/>
    </row>
    <row r="173" customFormat="false" ht="15" hidden="false" customHeight="false" outlineLevel="0" collapsed="false">
      <c r="A173" s="11" t="s">
        <v>29</v>
      </c>
      <c r="B173" s="11" t="s">
        <v>298</v>
      </c>
      <c r="C173" s="11" t="s">
        <v>173</v>
      </c>
      <c r="D173" s="11" t="s">
        <v>521</v>
      </c>
      <c r="E173" s="12" t="n">
        <v>41</v>
      </c>
      <c r="F173" s="13" t="n">
        <f aca="false">E173/(1+Forudsætninger!$B$3)</f>
        <v>32.8</v>
      </c>
      <c r="G173" s="14" t="n">
        <v>20.9</v>
      </c>
      <c r="H173" s="15" t="n">
        <f aca="false">IF(OR(G173="",F173=0),"",(F173-G173)/F173)</f>
        <v>0.362804878048781</v>
      </c>
      <c r="I173" s="11" t="str">
        <f aca="false">IF(G173="","UKENDT",IF(OR(E173=0,H173&lt;0),"KRITISK",IF(H173&lt;0.2,"HØJ",IF(H173&lt;0.35,"MIDDEL","OK"))))</f>
        <v>OK</v>
      </c>
      <c r="J173" s="12" t="n">
        <f aca="false">IF(G173="","",MAX(E173,CEILING(G173/(1-Forudsætninger!$B$4)*(1+Forudsætninger!$B$3),IF(G173/(1-Forudsætninger!$B$4)*(1+Forudsætninger!$B$3)&lt;50,1,IF(G173/(1-Forudsætninger!$B$4)*(1+Forudsætninger!$B$3)&lt;200,5,10)))))</f>
        <v>48</v>
      </c>
      <c r="K173" s="15" t="n">
        <f aca="false">IF(OR(J173="",E173=0),"",J173/E173-1)</f>
        <v>0.170731707317073</v>
      </c>
      <c r="L173" s="15" t="n">
        <f aca="false">IF(J173="","",(J173/(1+Forudsætninger!$B$3)-G173)/(J173/(1+Forudsætninger!$B$3)))</f>
        <v>0.455729166666667</v>
      </c>
      <c r="M173" s="11" t="s">
        <v>522</v>
      </c>
      <c r="N173" s="11"/>
    </row>
    <row r="174" customFormat="false" ht="15" hidden="false" customHeight="false" outlineLevel="0" collapsed="false">
      <c r="A174" s="11" t="s">
        <v>29</v>
      </c>
      <c r="B174" s="11" t="s">
        <v>298</v>
      </c>
      <c r="C174" s="11" t="s">
        <v>209</v>
      </c>
      <c r="D174" s="11" t="s">
        <v>523</v>
      </c>
      <c r="E174" s="12" t="n">
        <v>41</v>
      </c>
      <c r="F174" s="13" t="n">
        <f aca="false">E174/(1+Forudsætninger!$B$3)</f>
        <v>32.8</v>
      </c>
      <c r="G174" s="14" t="n">
        <v>20.9</v>
      </c>
      <c r="H174" s="15" t="n">
        <f aca="false">IF(OR(G174="",F174=0),"",(F174-G174)/F174)</f>
        <v>0.362804878048781</v>
      </c>
      <c r="I174" s="11" t="str">
        <f aca="false">IF(G174="","UKENDT",IF(OR(E174=0,H174&lt;0),"KRITISK",IF(H174&lt;0.2,"HØJ",IF(H174&lt;0.35,"MIDDEL","OK"))))</f>
        <v>OK</v>
      </c>
      <c r="J174" s="12" t="n">
        <f aca="false">IF(G174="","",MAX(E174,CEILING(G174/(1-Forudsætninger!$B$4)*(1+Forudsætninger!$B$3),IF(G174/(1-Forudsætninger!$B$4)*(1+Forudsætninger!$B$3)&lt;50,1,IF(G174/(1-Forudsætninger!$B$4)*(1+Forudsætninger!$B$3)&lt;200,5,10)))))</f>
        <v>48</v>
      </c>
      <c r="K174" s="15" t="n">
        <f aca="false">IF(OR(J174="",E174=0),"",J174/E174-1)</f>
        <v>0.170731707317073</v>
      </c>
      <c r="L174" s="15" t="n">
        <f aca="false">IF(J174="","",(J174/(1+Forudsætninger!$B$3)-G174)/(J174/(1+Forudsætninger!$B$3)))</f>
        <v>0.455729166666667</v>
      </c>
      <c r="M174" s="11" t="s">
        <v>524</v>
      </c>
      <c r="N174" s="11"/>
    </row>
    <row r="175" customFormat="false" ht="15" hidden="false" customHeight="false" outlineLevel="0" collapsed="false">
      <c r="A175" s="11" t="s">
        <v>27</v>
      </c>
      <c r="B175" s="11" t="s">
        <v>450</v>
      </c>
      <c r="C175" s="11" t="s">
        <v>525</v>
      </c>
      <c r="D175" s="11" t="s">
        <v>526</v>
      </c>
      <c r="E175" s="12" t="n">
        <v>136</v>
      </c>
      <c r="F175" s="13" t="n">
        <f aca="false">E175/(1+Forudsætninger!$B$3)</f>
        <v>108.8</v>
      </c>
      <c r="G175" s="14" t="n">
        <v>69.3</v>
      </c>
      <c r="H175" s="15" t="n">
        <f aca="false">IF(OR(G175="",F175=0),"",(F175-G175)/F175)</f>
        <v>0.363051470588235</v>
      </c>
      <c r="I175" s="11" t="str">
        <f aca="false">IF(G175="","UKENDT",IF(OR(E175=0,H175&lt;0),"KRITISK",IF(H175&lt;0.2,"HØJ",IF(H175&lt;0.35,"MIDDEL","OK"))))</f>
        <v>OK</v>
      </c>
      <c r="J175" s="12" t="n">
        <f aca="false">IF(G175="","",MAX(E175,CEILING(G175/(1-Forudsætninger!$B$4)*(1+Forudsætninger!$B$3),IF(G175/(1-Forudsætninger!$B$4)*(1+Forudsætninger!$B$3)&lt;50,1,IF(G175/(1-Forudsætninger!$B$4)*(1+Forudsætninger!$B$3)&lt;200,5,10)))))</f>
        <v>160</v>
      </c>
      <c r="K175" s="15" t="n">
        <f aca="false">IF(OR(J175="",E175=0),"",J175/E175-1)</f>
        <v>0.176470588235294</v>
      </c>
      <c r="L175" s="15" t="n">
        <f aca="false">IF(J175="","",(J175/(1+Forudsætninger!$B$3)-G175)/(J175/(1+Forudsætninger!$B$3)))</f>
        <v>0.45859375</v>
      </c>
      <c r="M175" s="11" t="s">
        <v>527</v>
      </c>
      <c r="N175" s="11"/>
    </row>
    <row r="176" customFormat="false" ht="15" hidden="false" customHeight="false" outlineLevel="0" collapsed="false">
      <c r="A176" s="11" t="s">
        <v>27</v>
      </c>
      <c r="B176" s="11" t="s">
        <v>528</v>
      </c>
      <c r="C176" s="11" t="s">
        <v>100</v>
      </c>
      <c r="D176" s="11" t="s">
        <v>529</v>
      </c>
      <c r="E176" s="12" t="n">
        <v>62</v>
      </c>
      <c r="F176" s="13" t="n">
        <f aca="false">E176/(1+Forudsætninger!$B$3)</f>
        <v>49.6</v>
      </c>
      <c r="G176" s="14" t="n">
        <v>31.57</v>
      </c>
      <c r="H176" s="15" t="n">
        <f aca="false">IF(OR(G176="",F176=0),"",(F176-G176)/F176)</f>
        <v>0.363508064516129</v>
      </c>
      <c r="I176" s="11" t="str">
        <f aca="false">IF(G176="","UKENDT",IF(OR(E176=0,H176&lt;0),"KRITISK",IF(H176&lt;0.2,"HØJ",IF(H176&lt;0.35,"MIDDEL","OK"))))</f>
        <v>OK</v>
      </c>
      <c r="J176" s="12" t="n">
        <f aca="false">IF(G176="","",MAX(E176,CEILING(G176/(1-Forudsætninger!$B$4)*(1+Forudsætninger!$B$3),IF(G176/(1-Forudsætninger!$B$4)*(1+Forudsætninger!$B$3)&lt;50,1,IF(G176/(1-Forudsætninger!$B$4)*(1+Forudsætninger!$B$3)&lt;200,5,10)))))</f>
        <v>75</v>
      </c>
      <c r="K176" s="15" t="n">
        <f aca="false">IF(OR(J176="",E176=0),"",J176/E176-1)</f>
        <v>0.209677419354839</v>
      </c>
      <c r="L176" s="15" t="n">
        <f aca="false">IF(J176="","",(J176/(1+Forudsætninger!$B$3)-G176)/(J176/(1+Forudsætninger!$B$3)))</f>
        <v>0.473833333333333</v>
      </c>
      <c r="M176" s="11" t="s">
        <v>530</v>
      </c>
      <c r="N176" s="11"/>
    </row>
    <row r="177" customFormat="false" ht="15" hidden="false" customHeight="false" outlineLevel="0" collapsed="false">
      <c r="A177" s="11" t="s">
        <v>27</v>
      </c>
      <c r="B177" s="11" t="s">
        <v>475</v>
      </c>
      <c r="C177" s="11" t="s">
        <v>186</v>
      </c>
      <c r="D177" s="11" t="s">
        <v>531</v>
      </c>
      <c r="E177" s="12" t="n">
        <v>143</v>
      </c>
      <c r="F177" s="13" t="n">
        <f aca="false">E177/(1+Forudsætninger!$B$3)</f>
        <v>114.4</v>
      </c>
      <c r="G177" s="14" t="n">
        <v>71.5</v>
      </c>
      <c r="H177" s="15" t="n">
        <f aca="false">IF(OR(G177="",F177=0),"",(F177-G177)/F177)</f>
        <v>0.375</v>
      </c>
      <c r="I177" s="11" t="str">
        <f aca="false">IF(G177="","UKENDT",IF(OR(E177=0,H177&lt;0),"KRITISK",IF(H177&lt;0.2,"HØJ",IF(H177&lt;0.35,"MIDDEL","OK"))))</f>
        <v>OK</v>
      </c>
      <c r="J177" s="12" t="n">
        <f aca="false">IF(G177="","",MAX(E177,CEILING(G177/(1-Forudsætninger!$B$4)*(1+Forudsætninger!$B$3),IF(G177/(1-Forudsætninger!$B$4)*(1+Forudsætninger!$B$3)&lt;50,1,IF(G177/(1-Forudsætninger!$B$4)*(1+Forudsætninger!$B$3)&lt;200,5,10)))))</f>
        <v>165</v>
      </c>
      <c r="K177" s="15" t="n">
        <f aca="false">IF(OR(J177="",E177=0),"",J177/E177-1)</f>
        <v>0.153846153846154</v>
      </c>
      <c r="L177" s="15" t="n">
        <f aca="false">IF(J177="","",(J177/(1+Forudsætninger!$B$3)-G177)/(J177/(1+Forudsætninger!$B$3)))</f>
        <v>0.458333333333333</v>
      </c>
      <c r="M177" s="11" t="s">
        <v>532</v>
      </c>
      <c r="N177" s="11"/>
    </row>
    <row r="178" customFormat="false" ht="15" hidden="false" customHeight="false" outlineLevel="0" collapsed="false">
      <c r="A178" s="11" t="s">
        <v>33</v>
      </c>
      <c r="B178" s="11" t="s">
        <v>478</v>
      </c>
      <c r="C178" s="11" t="s">
        <v>533</v>
      </c>
      <c r="D178" s="11" t="s">
        <v>534</v>
      </c>
      <c r="E178" s="12" t="n">
        <v>143</v>
      </c>
      <c r="F178" s="13" t="n">
        <f aca="false">E178/(1+Forudsætninger!$B$3)</f>
        <v>114.4</v>
      </c>
      <c r="G178" s="14" t="n">
        <v>71.5</v>
      </c>
      <c r="H178" s="15" t="n">
        <f aca="false">IF(OR(G178="",F178=0),"",(F178-G178)/F178)</f>
        <v>0.375</v>
      </c>
      <c r="I178" s="11" t="str">
        <f aca="false">IF(G178="","UKENDT",IF(OR(E178=0,H178&lt;0),"KRITISK",IF(H178&lt;0.2,"HØJ",IF(H178&lt;0.35,"MIDDEL","OK"))))</f>
        <v>OK</v>
      </c>
      <c r="J178" s="12" t="n">
        <f aca="false">IF(G178="","",MAX(E178,CEILING(G178/(1-Forudsætninger!$B$4)*(1+Forudsætninger!$B$3),IF(G178/(1-Forudsætninger!$B$4)*(1+Forudsætninger!$B$3)&lt;50,1,IF(G178/(1-Forudsætninger!$B$4)*(1+Forudsætninger!$B$3)&lt;200,5,10)))))</f>
        <v>165</v>
      </c>
      <c r="K178" s="15" t="n">
        <f aca="false">IF(OR(J178="",E178=0),"",J178/E178-1)</f>
        <v>0.153846153846154</v>
      </c>
      <c r="L178" s="15" t="n">
        <f aca="false">IF(J178="","",(J178/(1+Forudsætninger!$B$3)-G178)/(J178/(1+Forudsætninger!$B$3)))</f>
        <v>0.458333333333333</v>
      </c>
      <c r="M178" s="11" t="s">
        <v>535</v>
      </c>
      <c r="N178" s="11"/>
    </row>
    <row r="179" customFormat="false" ht="15" hidden="false" customHeight="false" outlineLevel="0" collapsed="false">
      <c r="A179" s="11" t="s">
        <v>27</v>
      </c>
      <c r="B179" s="11" t="s">
        <v>472</v>
      </c>
      <c r="C179" s="11" t="s">
        <v>518</v>
      </c>
      <c r="D179" s="11" t="s">
        <v>536</v>
      </c>
      <c r="E179" s="12" t="n">
        <v>173</v>
      </c>
      <c r="F179" s="13" t="n">
        <f aca="false">E179/(1+Forudsætninger!$B$3)</f>
        <v>138.4</v>
      </c>
      <c r="G179" s="14" t="n">
        <v>86.35</v>
      </c>
      <c r="H179" s="15" t="n">
        <f aca="false">IF(OR(G179="",F179=0),"",(F179-G179)/F179)</f>
        <v>0.376083815028902</v>
      </c>
      <c r="I179" s="11" t="str">
        <f aca="false">IF(G179="","UKENDT",IF(OR(E179=0,H179&lt;0),"KRITISK",IF(H179&lt;0.2,"HØJ",IF(H179&lt;0.35,"MIDDEL","OK"))))</f>
        <v>OK</v>
      </c>
      <c r="J179" s="12" t="n">
        <f aca="false">IF(G179="","",MAX(E179,CEILING(G179/(1-Forudsætninger!$B$4)*(1+Forudsætninger!$B$3),IF(G179/(1-Forudsætninger!$B$4)*(1+Forudsætninger!$B$3)&lt;50,1,IF(G179/(1-Forudsætninger!$B$4)*(1+Forudsætninger!$B$3)&lt;200,5,10)))))</f>
        <v>200</v>
      </c>
      <c r="K179" s="15" t="n">
        <f aca="false">IF(OR(J179="",E179=0),"",J179/E179-1)</f>
        <v>0.15606936416185</v>
      </c>
      <c r="L179" s="15" t="n">
        <f aca="false">IF(J179="","",(J179/(1+Forudsætninger!$B$3)-G179)/(J179/(1+Forudsætninger!$B$3)))</f>
        <v>0.4603125</v>
      </c>
      <c r="M179" s="11" t="s">
        <v>537</v>
      </c>
      <c r="N179" s="11"/>
    </row>
    <row r="180" customFormat="false" ht="15" hidden="false" customHeight="false" outlineLevel="0" collapsed="false">
      <c r="A180" s="11" t="s">
        <v>27</v>
      </c>
      <c r="B180" s="11" t="s">
        <v>472</v>
      </c>
      <c r="C180" s="11" t="s">
        <v>510</v>
      </c>
      <c r="D180" s="11" t="s">
        <v>538</v>
      </c>
      <c r="E180" s="12" t="n">
        <v>125</v>
      </c>
      <c r="F180" s="13" t="n">
        <f aca="false">E180/(1+Forudsætninger!$B$3)</f>
        <v>100</v>
      </c>
      <c r="G180" s="14" t="n">
        <v>62.04</v>
      </c>
      <c r="H180" s="15" t="n">
        <f aca="false">IF(OR(G180="",F180=0),"",(F180-G180)/F180)</f>
        <v>0.3796</v>
      </c>
      <c r="I180" s="11" t="str">
        <f aca="false">IF(G180="","UKENDT",IF(OR(E180=0,H180&lt;0),"KRITISK",IF(H180&lt;0.2,"HØJ",IF(H180&lt;0.35,"MIDDEL","OK"))))</f>
        <v>OK</v>
      </c>
      <c r="J180" s="12" t="n">
        <f aca="false">IF(G180="","",MAX(E180,CEILING(G180/(1-Forudsætninger!$B$4)*(1+Forudsætninger!$B$3),IF(G180/(1-Forudsætninger!$B$4)*(1+Forudsætninger!$B$3)&lt;50,1,IF(G180/(1-Forudsætninger!$B$4)*(1+Forudsætninger!$B$3)&lt;200,5,10)))))</f>
        <v>145</v>
      </c>
      <c r="K180" s="15" t="n">
        <f aca="false">IF(OR(J180="",E180=0),"",J180/E180-1)</f>
        <v>0.16</v>
      </c>
      <c r="L180" s="15" t="n">
        <f aca="false">IF(J180="","",(J180/(1+Forudsætninger!$B$3)-G180)/(J180/(1+Forudsætninger!$B$3)))</f>
        <v>0.465172413793104</v>
      </c>
      <c r="M180" s="11" t="s">
        <v>539</v>
      </c>
      <c r="N180" s="11"/>
    </row>
    <row r="181" customFormat="false" ht="15" hidden="false" customHeight="false" outlineLevel="0" collapsed="false">
      <c r="A181" s="11" t="s">
        <v>28</v>
      </c>
      <c r="B181" s="11" t="s">
        <v>540</v>
      </c>
      <c r="C181" s="11" t="s">
        <v>541</v>
      </c>
      <c r="D181" s="11" t="s">
        <v>542</v>
      </c>
      <c r="E181" s="12" t="n">
        <v>20</v>
      </c>
      <c r="F181" s="13" t="n">
        <f aca="false">E181/(1+Forudsætninger!$B$3)</f>
        <v>16</v>
      </c>
      <c r="G181" s="14" t="n">
        <v>9.9</v>
      </c>
      <c r="H181" s="15" t="n">
        <f aca="false">IF(OR(G181="",F181=0),"",(F181-G181)/F181)</f>
        <v>0.38125</v>
      </c>
      <c r="I181" s="11" t="str">
        <f aca="false">IF(G181="","UKENDT",IF(OR(E181=0,H181&lt;0),"KRITISK",IF(H181&lt;0.2,"HØJ",IF(H181&lt;0.35,"MIDDEL","OK"))))</f>
        <v>OK</v>
      </c>
      <c r="J181" s="12" t="n">
        <f aca="false">IF(G181="","",MAX(E181,CEILING(G181/(1-Forudsætninger!$B$4)*(1+Forudsætninger!$B$3),IF(G181/(1-Forudsætninger!$B$4)*(1+Forudsætninger!$B$3)&lt;50,1,IF(G181/(1-Forudsætninger!$B$4)*(1+Forudsætninger!$B$3)&lt;200,5,10)))))</f>
        <v>23</v>
      </c>
      <c r="K181" s="15" t="n">
        <f aca="false">IF(OR(J181="",E181=0),"",J181/E181-1)</f>
        <v>0.15</v>
      </c>
      <c r="L181" s="15" t="n">
        <f aca="false">IF(J181="","",(J181/(1+Forudsætninger!$B$3)-G181)/(J181/(1+Forudsætninger!$B$3)))</f>
        <v>0.46195652173913</v>
      </c>
      <c r="M181" s="11" t="s">
        <v>543</v>
      </c>
      <c r="N181" s="11"/>
    </row>
    <row r="182" customFormat="false" ht="15" hidden="false" customHeight="false" outlineLevel="0" collapsed="false">
      <c r="A182" s="11" t="s">
        <v>27</v>
      </c>
      <c r="B182" s="11" t="s">
        <v>472</v>
      </c>
      <c r="C182" s="11" t="s">
        <v>525</v>
      </c>
      <c r="D182" s="11" t="s">
        <v>544</v>
      </c>
      <c r="E182" s="12" t="n">
        <v>140</v>
      </c>
      <c r="F182" s="13" t="n">
        <f aca="false">E182/(1+Forudsætninger!$B$3)</f>
        <v>112</v>
      </c>
      <c r="G182" s="14" t="n">
        <v>69.3</v>
      </c>
      <c r="H182" s="15" t="n">
        <f aca="false">IF(OR(G182="",F182=0),"",(F182-G182)/F182)</f>
        <v>0.38125</v>
      </c>
      <c r="I182" s="11" t="str">
        <f aca="false">IF(G182="","UKENDT",IF(OR(E182=0,H182&lt;0),"KRITISK",IF(H182&lt;0.2,"HØJ",IF(H182&lt;0.35,"MIDDEL","OK"))))</f>
        <v>OK</v>
      </c>
      <c r="J182" s="12" t="n">
        <f aca="false">IF(G182="","",MAX(E182,CEILING(G182/(1-Forudsætninger!$B$4)*(1+Forudsætninger!$B$3),IF(G182/(1-Forudsætninger!$B$4)*(1+Forudsætninger!$B$3)&lt;50,1,IF(G182/(1-Forudsætninger!$B$4)*(1+Forudsætninger!$B$3)&lt;200,5,10)))))</f>
        <v>160</v>
      </c>
      <c r="K182" s="15" t="n">
        <f aca="false">IF(OR(J182="",E182=0),"",J182/E182-1)</f>
        <v>0.142857142857143</v>
      </c>
      <c r="L182" s="15" t="n">
        <f aca="false">IF(J182="","",(J182/(1+Forudsætninger!$B$3)-G182)/(J182/(1+Forudsætninger!$B$3)))</f>
        <v>0.45859375</v>
      </c>
      <c r="M182" s="11" t="s">
        <v>545</v>
      </c>
      <c r="N182" s="11"/>
    </row>
    <row r="183" customFormat="false" ht="15" hidden="false" customHeight="false" outlineLevel="0" collapsed="false">
      <c r="A183" s="11" t="s">
        <v>24</v>
      </c>
      <c r="B183" s="11" t="s">
        <v>546</v>
      </c>
      <c r="C183" s="11" t="s">
        <v>498</v>
      </c>
      <c r="D183" s="11" t="s">
        <v>547</v>
      </c>
      <c r="E183" s="12" t="n">
        <v>120</v>
      </c>
      <c r="F183" s="13" t="n">
        <f aca="false">E183/(1+Forudsætninger!$B$3)</f>
        <v>96</v>
      </c>
      <c r="G183" s="14" t="n">
        <v>59.4</v>
      </c>
      <c r="H183" s="15" t="n">
        <f aca="false">IF(OR(G183="",F183=0),"",(F183-G183)/F183)</f>
        <v>0.38125</v>
      </c>
      <c r="I183" s="11" t="str">
        <f aca="false">IF(G183="","UKENDT",IF(OR(E183=0,H183&lt;0),"KRITISK",IF(H183&lt;0.2,"HØJ",IF(H183&lt;0.35,"MIDDEL","OK"))))</f>
        <v>OK</v>
      </c>
      <c r="J183" s="12" t="n">
        <f aca="false">IF(G183="","",MAX(E183,CEILING(G183/(1-Forudsætninger!$B$4)*(1+Forudsætninger!$B$3),IF(G183/(1-Forudsætninger!$B$4)*(1+Forudsætninger!$B$3)&lt;50,1,IF(G183/(1-Forudsætninger!$B$4)*(1+Forudsætninger!$B$3)&lt;200,5,10)))))</f>
        <v>135</v>
      </c>
      <c r="K183" s="15" t="n">
        <f aca="false">IF(OR(J183="",E183=0),"",J183/E183-1)</f>
        <v>0.125</v>
      </c>
      <c r="L183" s="15" t="n">
        <f aca="false">IF(J183="","",(J183/(1+Forudsætninger!$B$3)-G183)/(J183/(1+Forudsætninger!$B$3)))</f>
        <v>0.45</v>
      </c>
      <c r="M183" s="11" t="s">
        <v>548</v>
      </c>
      <c r="N183" s="11"/>
    </row>
    <row r="184" customFormat="false" ht="15" hidden="false" customHeight="false" outlineLevel="0" collapsed="false">
      <c r="A184" s="11" t="s">
        <v>27</v>
      </c>
      <c r="B184" s="11" t="s">
        <v>485</v>
      </c>
      <c r="C184" s="11" t="s">
        <v>186</v>
      </c>
      <c r="D184" s="11" t="s">
        <v>549</v>
      </c>
      <c r="E184" s="12" t="n">
        <v>146</v>
      </c>
      <c r="F184" s="13" t="n">
        <f aca="false">E184/(1+Forudsætninger!$B$3)</f>
        <v>116.8</v>
      </c>
      <c r="G184" s="14" t="n">
        <v>71.5</v>
      </c>
      <c r="H184" s="15" t="n">
        <f aca="false">IF(OR(G184="",F184=0),"",(F184-G184)/F184)</f>
        <v>0.387842465753425</v>
      </c>
      <c r="I184" s="11" t="str">
        <f aca="false">IF(G184="","UKENDT",IF(OR(E184=0,H184&lt;0),"KRITISK",IF(H184&lt;0.2,"HØJ",IF(H184&lt;0.35,"MIDDEL","OK"))))</f>
        <v>OK</v>
      </c>
      <c r="J184" s="12" t="n">
        <f aca="false">IF(G184="","",MAX(E184,CEILING(G184/(1-Forudsætninger!$B$4)*(1+Forudsætninger!$B$3),IF(G184/(1-Forudsætninger!$B$4)*(1+Forudsætninger!$B$3)&lt;50,1,IF(G184/(1-Forudsætninger!$B$4)*(1+Forudsætninger!$B$3)&lt;200,5,10)))))</f>
        <v>165</v>
      </c>
      <c r="K184" s="15" t="n">
        <f aca="false">IF(OR(J184="",E184=0),"",J184/E184-1)</f>
        <v>0.13013698630137</v>
      </c>
      <c r="L184" s="15" t="n">
        <f aca="false">IF(J184="","",(J184/(1+Forudsætninger!$B$3)-G184)/(J184/(1+Forudsætninger!$B$3)))</f>
        <v>0.458333333333333</v>
      </c>
      <c r="M184" s="11" t="s">
        <v>550</v>
      </c>
      <c r="N184" s="11"/>
    </row>
    <row r="185" customFormat="false" ht="15" hidden="false" customHeight="false" outlineLevel="0" collapsed="false">
      <c r="A185" s="11" t="s">
        <v>33</v>
      </c>
      <c r="B185" s="11" t="s">
        <v>551</v>
      </c>
      <c r="C185" s="11" t="s">
        <v>552</v>
      </c>
      <c r="D185" s="11" t="s">
        <v>553</v>
      </c>
      <c r="E185" s="12" t="n">
        <v>120</v>
      </c>
      <c r="F185" s="13" t="n">
        <f aca="false">E185/(1+Forudsætninger!$B$3)</f>
        <v>96</v>
      </c>
      <c r="G185" s="14" t="n">
        <v>58.3</v>
      </c>
      <c r="H185" s="15" t="n">
        <f aca="false">IF(OR(G185="",F185=0),"",(F185-G185)/F185)</f>
        <v>0.392708333333333</v>
      </c>
      <c r="I185" s="11" t="str">
        <f aca="false">IF(G185="","UKENDT",IF(OR(E185=0,H185&lt;0),"KRITISK",IF(H185&lt;0.2,"HØJ",IF(H185&lt;0.35,"MIDDEL","OK"))))</f>
        <v>OK</v>
      </c>
      <c r="J185" s="12" t="n">
        <f aca="false">IF(G185="","",MAX(E185,CEILING(G185/(1-Forudsætninger!$B$4)*(1+Forudsætninger!$B$3),IF(G185/(1-Forudsætninger!$B$4)*(1+Forudsætninger!$B$3)&lt;50,1,IF(G185/(1-Forudsætninger!$B$4)*(1+Forudsætninger!$B$3)&lt;200,5,10)))))</f>
        <v>135</v>
      </c>
      <c r="K185" s="15" t="n">
        <f aca="false">IF(OR(J185="",E185=0),"",J185/E185-1)</f>
        <v>0.125</v>
      </c>
      <c r="L185" s="15" t="n">
        <f aca="false">IF(J185="","",(J185/(1+Forudsætninger!$B$3)-G185)/(J185/(1+Forudsætninger!$B$3)))</f>
        <v>0.460185185185185</v>
      </c>
      <c r="M185" s="11" t="s">
        <v>554</v>
      </c>
      <c r="N185" s="11"/>
    </row>
    <row r="186" customFormat="false" ht="15" hidden="false" customHeight="false" outlineLevel="0" collapsed="false">
      <c r="A186" s="11" t="s">
        <v>33</v>
      </c>
      <c r="B186" s="11" t="s">
        <v>555</v>
      </c>
      <c r="C186" s="11" t="s">
        <v>463</v>
      </c>
      <c r="D186" s="11" t="s">
        <v>556</v>
      </c>
      <c r="E186" s="12" t="n">
        <v>41</v>
      </c>
      <c r="F186" s="13" t="n">
        <f aca="false">E186/(1+Forudsætninger!$B$3)</f>
        <v>32.8</v>
      </c>
      <c r="G186" s="14" t="n">
        <v>19.8</v>
      </c>
      <c r="H186" s="15" t="n">
        <f aca="false">IF(OR(G186="",F186=0),"",(F186-G186)/F186)</f>
        <v>0.396341463414634</v>
      </c>
      <c r="I186" s="11" t="str">
        <f aca="false">IF(G186="","UKENDT",IF(OR(E186=0,H186&lt;0),"KRITISK",IF(H186&lt;0.2,"HØJ",IF(H186&lt;0.35,"MIDDEL","OK"))))</f>
        <v>OK</v>
      </c>
      <c r="J186" s="12" t="n">
        <f aca="false">IF(G186="","",MAX(E186,CEILING(G186/(1-Forudsætninger!$B$4)*(1+Forudsætninger!$B$3),IF(G186/(1-Forudsætninger!$B$4)*(1+Forudsætninger!$B$3)&lt;50,1,IF(G186/(1-Forudsætninger!$B$4)*(1+Forudsætninger!$B$3)&lt;200,5,10)))))</f>
        <v>45</v>
      </c>
      <c r="K186" s="15" t="n">
        <f aca="false">IF(OR(J186="",E186=0),"",J186/E186-1)</f>
        <v>0.0975609756097562</v>
      </c>
      <c r="L186" s="15" t="n">
        <f aca="false">IF(J186="","",(J186/(1+Forudsætninger!$B$3)-G186)/(J186/(1+Forudsætninger!$B$3)))</f>
        <v>0.45</v>
      </c>
      <c r="M186" s="11" t="s">
        <v>557</v>
      </c>
      <c r="N186" s="11"/>
    </row>
    <row r="187" customFormat="false" ht="15" hidden="false" customHeight="false" outlineLevel="0" collapsed="false">
      <c r="A187" s="11" t="s">
        <v>27</v>
      </c>
      <c r="B187" s="11" t="s">
        <v>460</v>
      </c>
      <c r="C187" s="11" t="s">
        <v>186</v>
      </c>
      <c r="D187" s="11" t="s">
        <v>558</v>
      </c>
      <c r="E187" s="12" t="n">
        <v>90</v>
      </c>
      <c r="F187" s="13" t="n">
        <f aca="false">E187/(1+Forudsætninger!$B$3)</f>
        <v>72</v>
      </c>
      <c r="G187" s="14" t="n">
        <v>42.9</v>
      </c>
      <c r="H187" s="15" t="n">
        <f aca="false">IF(OR(G187="",F187=0),"",(F187-G187)/F187)</f>
        <v>0.404166666666667</v>
      </c>
      <c r="I187" s="11" t="str">
        <f aca="false">IF(G187="","UKENDT",IF(OR(E187=0,H187&lt;0),"KRITISK",IF(H187&lt;0.2,"HØJ",IF(H187&lt;0.35,"MIDDEL","OK"))))</f>
        <v>OK</v>
      </c>
      <c r="J187" s="12" t="n">
        <f aca="false">IF(G187="","",MAX(E187,CEILING(G187/(1-Forudsætninger!$B$4)*(1+Forudsætninger!$B$3),IF(G187/(1-Forudsætninger!$B$4)*(1+Forudsætninger!$B$3)&lt;50,1,IF(G187/(1-Forudsætninger!$B$4)*(1+Forudsætninger!$B$3)&lt;200,5,10)))))</f>
        <v>100</v>
      </c>
      <c r="K187" s="15" t="n">
        <f aca="false">IF(OR(J187="",E187=0),"",J187/E187-1)</f>
        <v>0.111111111111111</v>
      </c>
      <c r="L187" s="15" t="n">
        <f aca="false">IF(J187="","",(J187/(1+Forudsætninger!$B$3)-G187)/(J187/(1+Forudsætninger!$B$3)))</f>
        <v>0.46375</v>
      </c>
      <c r="M187" s="11" t="s">
        <v>559</v>
      </c>
      <c r="N187" s="11"/>
    </row>
    <row r="188" customFormat="false" ht="15" hidden="false" customHeight="false" outlineLevel="0" collapsed="false">
      <c r="A188" s="11" t="s">
        <v>29</v>
      </c>
      <c r="B188" s="11" t="s">
        <v>170</v>
      </c>
      <c r="C188" s="11" t="s">
        <v>560</v>
      </c>
      <c r="D188" s="11" t="s">
        <v>561</v>
      </c>
      <c r="E188" s="12" t="n">
        <v>47</v>
      </c>
      <c r="F188" s="13" t="n">
        <f aca="false">E188/(1+Forudsætninger!$B$3)</f>
        <v>37.6</v>
      </c>
      <c r="G188" s="14" t="n">
        <v>22</v>
      </c>
      <c r="H188" s="15" t="n">
        <f aca="false">IF(OR(G188="",F188=0),"",(F188-G188)/F188)</f>
        <v>0.414893617021277</v>
      </c>
      <c r="I188" s="11" t="str">
        <f aca="false">IF(G188="","UKENDT",IF(OR(E188=0,H188&lt;0),"KRITISK",IF(H188&lt;0.2,"HØJ",IF(H188&lt;0.35,"MIDDEL","OK"))))</f>
        <v>OK</v>
      </c>
      <c r="J188" s="12" t="n">
        <f aca="false">IF(G188="","",MAX(E188,CEILING(G188/(1-Forudsætninger!$B$4)*(1+Forudsætninger!$B$3),IF(G188/(1-Forudsætninger!$B$4)*(1+Forudsætninger!$B$3)&lt;50,1,IF(G188/(1-Forudsætninger!$B$4)*(1+Forudsætninger!$B$3)&lt;200,5,10)))))</f>
        <v>50</v>
      </c>
      <c r="K188" s="15" t="n">
        <f aca="false">IF(OR(J188="",E188=0),"",J188/E188-1)</f>
        <v>0.0638297872340425</v>
      </c>
      <c r="L188" s="15" t="n">
        <f aca="false">IF(J188="","",(J188/(1+Forudsætninger!$B$3)-G188)/(J188/(1+Forudsætninger!$B$3)))</f>
        <v>0.45</v>
      </c>
      <c r="M188" s="11" t="s">
        <v>562</v>
      </c>
      <c r="N188" s="11" t="s">
        <v>563</v>
      </c>
    </row>
    <row r="189" customFormat="false" ht="15" hidden="false" customHeight="false" outlineLevel="0" collapsed="false">
      <c r="A189" s="11" t="s">
        <v>29</v>
      </c>
      <c r="B189" s="11" t="s">
        <v>564</v>
      </c>
      <c r="C189" s="11" t="s">
        <v>89</v>
      </c>
      <c r="D189" s="11" t="s">
        <v>565</v>
      </c>
      <c r="E189" s="12" t="n">
        <v>140</v>
      </c>
      <c r="F189" s="13" t="n">
        <f aca="false">E189/(1+Forudsætninger!$B$3)</f>
        <v>112</v>
      </c>
      <c r="G189" s="14" t="n">
        <v>64.9</v>
      </c>
      <c r="H189" s="15" t="n">
        <f aca="false">IF(OR(G189="",F189=0),"",(F189-G189)/F189)</f>
        <v>0.420535714285714</v>
      </c>
      <c r="I189" s="11" t="str">
        <f aca="false">IF(G189="","UKENDT",IF(OR(E189=0,H189&lt;0),"KRITISK",IF(H189&lt;0.2,"HØJ",IF(H189&lt;0.35,"MIDDEL","OK"))))</f>
        <v>OK</v>
      </c>
      <c r="J189" s="12" t="n">
        <f aca="false">IF(G189="","",MAX(E189,CEILING(G189/(1-Forudsætninger!$B$4)*(1+Forudsætninger!$B$3),IF(G189/(1-Forudsætninger!$B$4)*(1+Forudsætninger!$B$3)&lt;50,1,IF(G189/(1-Forudsætninger!$B$4)*(1+Forudsætninger!$B$3)&lt;200,5,10)))))</f>
        <v>150</v>
      </c>
      <c r="K189" s="15" t="n">
        <f aca="false">IF(OR(J189="",E189=0),"",J189/E189-1)</f>
        <v>0.0714285714285714</v>
      </c>
      <c r="L189" s="15" t="n">
        <f aca="false">IF(J189="","",(J189/(1+Forudsætninger!$B$3)-G189)/(J189/(1+Forudsætninger!$B$3)))</f>
        <v>0.459166666666667</v>
      </c>
      <c r="M189" s="11" t="s">
        <v>566</v>
      </c>
      <c r="N189" s="11"/>
    </row>
    <row r="190" customFormat="false" ht="15" hidden="false" customHeight="false" outlineLevel="0" collapsed="false">
      <c r="A190" s="11" t="s">
        <v>27</v>
      </c>
      <c r="B190" s="11" t="s">
        <v>507</v>
      </c>
      <c r="C190" s="11" t="s">
        <v>165</v>
      </c>
      <c r="D190" s="11" t="s">
        <v>567</v>
      </c>
      <c r="E190" s="12" t="n">
        <v>89</v>
      </c>
      <c r="F190" s="13" t="n">
        <f aca="false">E190/(1+Forudsætninger!$B$3)</f>
        <v>71.2</v>
      </c>
      <c r="G190" s="14" t="n">
        <v>40.48</v>
      </c>
      <c r="H190" s="15" t="n">
        <f aca="false">IF(OR(G190="",F190=0),"",(F190-G190)/F190)</f>
        <v>0.431460674157303</v>
      </c>
      <c r="I190" s="11" t="str">
        <f aca="false">IF(G190="","UKENDT",IF(OR(E190=0,H190&lt;0),"KRITISK",IF(H190&lt;0.2,"HØJ",IF(H190&lt;0.35,"MIDDEL","OK"))))</f>
        <v>OK</v>
      </c>
      <c r="J190" s="12" t="n">
        <f aca="false">IF(G190="","",MAX(E190,CEILING(G190/(1-Forudsætninger!$B$4)*(1+Forudsætninger!$B$3),IF(G190/(1-Forudsætninger!$B$4)*(1+Forudsætninger!$B$3)&lt;50,1,IF(G190/(1-Forudsætninger!$B$4)*(1+Forudsætninger!$B$3)&lt;200,5,10)))))</f>
        <v>95</v>
      </c>
      <c r="K190" s="15" t="n">
        <f aca="false">IF(OR(J190="",E190=0),"",J190/E190-1)</f>
        <v>0.0674157303370786</v>
      </c>
      <c r="L190" s="15" t="n">
        <f aca="false">IF(J190="","",(J190/(1+Forudsætninger!$B$3)-G190)/(J190/(1+Forudsætninger!$B$3)))</f>
        <v>0.467368421052632</v>
      </c>
      <c r="M190" s="11" t="s">
        <v>568</v>
      </c>
      <c r="N190" s="11"/>
    </row>
    <row r="191" customFormat="false" ht="15" hidden="false" customHeight="false" outlineLevel="0" collapsed="false">
      <c r="A191" s="11" t="s">
        <v>27</v>
      </c>
      <c r="B191" s="11" t="s">
        <v>528</v>
      </c>
      <c r="C191" s="11" t="s">
        <v>165</v>
      </c>
      <c r="D191" s="11" t="s">
        <v>569</v>
      </c>
      <c r="E191" s="12" t="n">
        <v>90</v>
      </c>
      <c r="F191" s="13" t="n">
        <f aca="false">E191/(1+Forudsætninger!$B$3)</f>
        <v>72</v>
      </c>
      <c r="G191" s="14" t="n">
        <v>40.48</v>
      </c>
      <c r="H191" s="15" t="n">
        <f aca="false">IF(OR(G191="",F191=0),"",(F191-G191)/F191)</f>
        <v>0.437777777777778</v>
      </c>
      <c r="I191" s="11" t="str">
        <f aca="false">IF(G191="","UKENDT",IF(OR(E191=0,H191&lt;0),"KRITISK",IF(H191&lt;0.2,"HØJ",IF(H191&lt;0.35,"MIDDEL","OK"))))</f>
        <v>OK</v>
      </c>
      <c r="J191" s="12" t="n">
        <f aca="false">IF(G191="","",MAX(E191,CEILING(G191/(1-Forudsætninger!$B$4)*(1+Forudsætninger!$B$3),IF(G191/(1-Forudsætninger!$B$4)*(1+Forudsætninger!$B$3)&lt;50,1,IF(G191/(1-Forudsætninger!$B$4)*(1+Forudsætninger!$B$3)&lt;200,5,10)))))</f>
        <v>95</v>
      </c>
      <c r="K191" s="15" t="n">
        <f aca="false">IF(OR(J191="",E191=0),"",J191/E191-1)</f>
        <v>0.0555555555555556</v>
      </c>
      <c r="L191" s="15" t="n">
        <f aca="false">IF(J191="","",(J191/(1+Forudsætninger!$B$3)-G191)/(J191/(1+Forudsætninger!$B$3)))</f>
        <v>0.467368421052632</v>
      </c>
      <c r="M191" s="11" t="s">
        <v>570</v>
      </c>
      <c r="N191" s="11"/>
    </row>
    <row r="192" customFormat="false" ht="15" hidden="false" customHeight="false" outlineLevel="0" collapsed="false">
      <c r="A192" s="11" t="s">
        <v>27</v>
      </c>
      <c r="B192" s="11" t="s">
        <v>528</v>
      </c>
      <c r="C192" s="11" t="s">
        <v>189</v>
      </c>
      <c r="D192" s="11" t="s">
        <v>571</v>
      </c>
      <c r="E192" s="12" t="n">
        <v>80</v>
      </c>
      <c r="F192" s="13" t="n">
        <f aca="false">E192/(1+Forudsætninger!$B$3)</f>
        <v>64</v>
      </c>
      <c r="G192" s="14" t="n">
        <v>35.64</v>
      </c>
      <c r="H192" s="15" t="n">
        <f aca="false">IF(OR(G192="",F192=0),"",(F192-G192)/F192)</f>
        <v>0.443125</v>
      </c>
      <c r="I192" s="11" t="str">
        <f aca="false">IF(G192="","UKENDT",IF(OR(E192=0,H192&lt;0),"KRITISK",IF(H192&lt;0.2,"HØJ",IF(H192&lt;0.35,"MIDDEL","OK"))))</f>
        <v>OK</v>
      </c>
      <c r="J192" s="12" t="n">
        <f aca="false">IF(G192="","",MAX(E192,CEILING(G192/(1-Forudsætninger!$B$4)*(1+Forudsætninger!$B$3),IF(G192/(1-Forudsætninger!$B$4)*(1+Forudsætninger!$B$3)&lt;50,1,IF(G192/(1-Forudsætninger!$B$4)*(1+Forudsætninger!$B$3)&lt;200,5,10)))))</f>
        <v>85</v>
      </c>
      <c r="K192" s="15" t="n">
        <f aca="false">IF(OR(J192="",E192=0),"",J192/E192-1)</f>
        <v>0.0625</v>
      </c>
      <c r="L192" s="15" t="n">
        <f aca="false">IF(J192="","",(J192/(1+Forudsætninger!$B$3)-G192)/(J192/(1+Forudsætninger!$B$3)))</f>
        <v>0.475882352941177</v>
      </c>
      <c r="M192" s="11" t="s">
        <v>572</v>
      </c>
      <c r="N192" s="11"/>
    </row>
    <row r="193" customFormat="false" ht="15" hidden="false" customHeight="false" outlineLevel="0" collapsed="false">
      <c r="A193" s="11" t="s">
        <v>27</v>
      </c>
      <c r="B193" s="11" t="s">
        <v>507</v>
      </c>
      <c r="C193" s="11" t="s">
        <v>189</v>
      </c>
      <c r="D193" s="11" t="s">
        <v>573</v>
      </c>
      <c r="E193" s="12" t="n">
        <v>80</v>
      </c>
      <c r="F193" s="13" t="n">
        <f aca="false">E193/(1+Forudsætninger!$B$3)</f>
        <v>64</v>
      </c>
      <c r="G193" s="14" t="n">
        <v>35.64</v>
      </c>
      <c r="H193" s="15" t="n">
        <f aca="false">IF(OR(G193="",F193=0),"",(F193-G193)/F193)</f>
        <v>0.443125</v>
      </c>
      <c r="I193" s="11" t="str">
        <f aca="false">IF(G193="","UKENDT",IF(OR(E193=0,H193&lt;0),"KRITISK",IF(H193&lt;0.2,"HØJ",IF(H193&lt;0.35,"MIDDEL","OK"))))</f>
        <v>OK</v>
      </c>
      <c r="J193" s="12" t="n">
        <f aca="false">IF(G193="","",MAX(E193,CEILING(G193/(1-Forudsætninger!$B$4)*(1+Forudsætninger!$B$3),IF(G193/(1-Forudsætninger!$B$4)*(1+Forudsætninger!$B$3)&lt;50,1,IF(G193/(1-Forudsætninger!$B$4)*(1+Forudsætninger!$B$3)&lt;200,5,10)))))</f>
        <v>85</v>
      </c>
      <c r="K193" s="15" t="n">
        <f aca="false">IF(OR(J193="",E193=0),"",J193/E193-1)</f>
        <v>0.0625</v>
      </c>
      <c r="L193" s="15" t="n">
        <f aca="false">IF(J193="","",(J193/(1+Forudsætninger!$B$3)-G193)/(J193/(1+Forudsætninger!$B$3)))</f>
        <v>0.475882352941177</v>
      </c>
      <c r="M193" s="11" t="s">
        <v>574</v>
      </c>
      <c r="N193" s="11"/>
    </row>
    <row r="194" customFormat="false" ht="15" hidden="false" customHeight="false" outlineLevel="0" collapsed="false">
      <c r="A194" s="11" t="s">
        <v>32</v>
      </c>
      <c r="B194" s="11" t="s">
        <v>575</v>
      </c>
      <c r="C194" s="11" t="s">
        <v>47</v>
      </c>
      <c r="D194" s="11" t="s">
        <v>576</v>
      </c>
      <c r="E194" s="12" t="n">
        <v>300</v>
      </c>
      <c r="F194" s="13" t="n">
        <f aca="false">E194/(1+Forudsætninger!$B$3)</f>
        <v>240</v>
      </c>
      <c r="G194" s="14" t="n">
        <v>132.66</v>
      </c>
      <c r="H194" s="15" t="n">
        <f aca="false">IF(OR(G194="",F194=0),"",(F194-G194)/F194)</f>
        <v>0.44725</v>
      </c>
      <c r="I194" s="11" t="str">
        <f aca="false">IF(G194="","UKENDT",IF(OR(E194=0,H194&lt;0),"KRITISK",IF(H194&lt;0.2,"HØJ",IF(H194&lt;0.35,"MIDDEL","OK"))))</f>
        <v>OK</v>
      </c>
      <c r="J194" s="12" t="n">
        <f aca="false">IF(G194="","",MAX(E194,CEILING(G194/(1-Forudsætninger!$B$4)*(1+Forudsætninger!$B$3),IF(G194/(1-Forudsætninger!$B$4)*(1+Forudsætninger!$B$3)&lt;50,1,IF(G194/(1-Forudsætninger!$B$4)*(1+Forudsætninger!$B$3)&lt;200,5,10)))))</f>
        <v>310</v>
      </c>
      <c r="K194" s="15" t="n">
        <f aca="false">IF(OR(J194="",E194=0),"",J194/E194-1)</f>
        <v>0.0333333333333334</v>
      </c>
      <c r="L194" s="15" t="n">
        <f aca="false">IF(J194="","",(J194/(1+Forudsætninger!$B$3)-G194)/(J194/(1+Forudsætninger!$B$3)))</f>
        <v>0.46508064516129</v>
      </c>
      <c r="M194" s="11" t="s">
        <v>577</v>
      </c>
      <c r="N194" s="11"/>
    </row>
    <row r="195" customFormat="false" ht="15" hidden="false" customHeight="false" outlineLevel="0" collapsed="false">
      <c r="A195" s="11" t="s">
        <v>30</v>
      </c>
      <c r="B195" s="11" t="s">
        <v>578</v>
      </c>
      <c r="C195" s="11" t="s">
        <v>120</v>
      </c>
      <c r="D195" s="11" t="s">
        <v>579</v>
      </c>
      <c r="E195" s="12" t="n">
        <v>20</v>
      </c>
      <c r="F195" s="13" t="n">
        <f aca="false">E195/(1+Forudsætninger!$B$3)</f>
        <v>16</v>
      </c>
      <c r="G195" s="14" t="n">
        <v>8.8</v>
      </c>
      <c r="H195" s="15" t="n">
        <f aca="false">IF(OR(G195="",F195=0),"",(F195-G195)/F195)</f>
        <v>0.45</v>
      </c>
      <c r="I195" s="11" t="str">
        <f aca="false">IF(G195="","UKENDT",IF(OR(E195=0,H195&lt;0),"KRITISK",IF(H195&lt;0.2,"HØJ",IF(H195&lt;0.35,"MIDDEL","OK"))))</f>
        <v>OK</v>
      </c>
      <c r="J195" s="12" t="n">
        <f aca="false">IF(G195="","",MAX(E195,CEILING(G195/(1-Forudsætninger!$B$4)*(1+Forudsætninger!$B$3),IF(G195/(1-Forudsætninger!$B$4)*(1+Forudsætninger!$B$3)&lt;50,1,IF(G195/(1-Forudsætninger!$B$4)*(1+Forudsætninger!$B$3)&lt;200,5,10)))))</f>
        <v>20</v>
      </c>
      <c r="K195" s="15" t="n">
        <f aca="false">IF(OR(J195="",E195=0),"",J195/E195-1)</f>
        <v>0</v>
      </c>
      <c r="L195" s="15" t="n">
        <f aca="false">IF(J195="","",(J195/(1+Forudsætninger!$B$3)-G195)/(J195/(1+Forudsætninger!$B$3)))</f>
        <v>0.45</v>
      </c>
      <c r="M195" s="11" t="s">
        <v>580</v>
      </c>
      <c r="N195" s="11" t="s">
        <v>581</v>
      </c>
    </row>
    <row r="196" customFormat="false" ht="15" hidden="false" customHeight="false" outlineLevel="0" collapsed="false">
      <c r="A196" s="11" t="s">
        <v>30</v>
      </c>
      <c r="B196" s="11" t="s">
        <v>578</v>
      </c>
      <c r="C196" s="11" t="s">
        <v>123</v>
      </c>
      <c r="D196" s="11" t="s">
        <v>582</v>
      </c>
      <c r="E196" s="12" t="n">
        <v>20</v>
      </c>
      <c r="F196" s="13" t="n">
        <f aca="false">E196/(1+Forudsætninger!$B$3)</f>
        <v>16</v>
      </c>
      <c r="G196" s="14" t="n">
        <v>8.8</v>
      </c>
      <c r="H196" s="15" t="n">
        <f aca="false">IF(OR(G196="",F196=0),"",(F196-G196)/F196)</f>
        <v>0.45</v>
      </c>
      <c r="I196" s="11" t="str">
        <f aca="false">IF(G196="","UKENDT",IF(OR(E196=0,H196&lt;0),"KRITISK",IF(H196&lt;0.2,"HØJ",IF(H196&lt;0.35,"MIDDEL","OK"))))</f>
        <v>OK</v>
      </c>
      <c r="J196" s="12" t="n">
        <f aca="false">IF(G196="","",MAX(E196,CEILING(G196/(1-Forudsætninger!$B$4)*(1+Forudsætninger!$B$3),IF(G196/(1-Forudsætninger!$B$4)*(1+Forudsætninger!$B$3)&lt;50,1,IF(G196/(1-Forudsætninger!$B$4)*(1+Forudsætninger!$B$3)&lt;200,5,10)))))</f>
        <v>20</v>
      </c>
      <c r="K196" s="15" t="n">
        <f aca="false">IF(OR(J196="",E196=0),"",J196/E196-1)</f>
        <v>0</v>
      </c>
      <c r="L196" s="15" t="n">
        <f aca="false">IF(J196="","",(J196/(1+Forudsætninger!$B$3)-G196)/(J196/(1+Forudsætninger!$B$3)))</f>
        <v>0.45</v>
      </c>
      <c r="M196" s="11" t="s">
        <v>583</v>
      </c>
      <c r="N196" s="11" t="s">
        <v>581</v>
      </c>
    </row>
    <row r="197" customFormat="false" ht="15" hidden="false" customHeight="false" outlineLevel="0" collapsed="false">
      <c r="A197" s="11" t="s">
        <v>30</v>
      </c>
      <c r="B197" s="11" t="s">
        <v>578</v>
      </c>
      <c r="C197" s="11" t="s">
        <v>126</v>
      </c>
      <c r="D197" s="11" t="s">
        <v>584</v>
      </c>
      <c r="E197" s="12" t="n">
        <v>20</v>
      </c>
      <c r="F197" s="13" t="n">
        <f aca="false">E197/(1+Forudsætninger!$B$3)</f>
        <v>16</v>
      </c>
      <c r="G197" s="14" t="n">
        <v>8.8</v>
      </c>
      <c r="H197" s="15" t="n">
        <f aca="false">IF(OR(G197="",F197=0),"",(F197-G197)/F197)</f>
        <v>0.45</v>
      </c>
      <c r="I197" s="11" t="str">
        <f aca="false">IF(G197="","UKENDT",IF(OR(E197=0,H197&lt;0),"KRITISK",IF(H197&lt;0.2,"HØJ",IF(H197&lt;0.35,"MIDDEL","OK"))))</f>
        <v>OK</v>
      </c>
      <c r="J197" s="12" t="n">
        <f aca="false">IF(G197="","",MAX(E197,CEILING(G197/(1-Forudsætninger!$B$4)*(1+Forudsætninger!$B$3),IF(G197/(1-Forudsætninger!$B$4)*(1+Forudsætninger!$B$3)&lt;50,1,IF(G197/(1-Forudsætninger!$B$4)*(1+Forudsætninger!$B$3)&lt;200,5,10)))))</f>
        <v>20</v>
      </c>
      <c r="K197" s="15" t="n">
        <f aca="false">IF(OR(J197="",E197=0),"",J197/E197-1)</f>
        <v>0</v>
      </c>
      <c r="L197" s="15" t="n">
        <f aca="false">IF(J197="","",(J197/(1+Forudsætninger!$B$3)-G197)/(J197/(1+Forudsætninger!$B$3)))</f>
        <v>0.45</v>
      </c>
      <c r="M197" s="11" t="s">
        <v>585</v>
      </c>
      <c r="N197" s="11" t="s">
        <v>581</v>
      </c>
    </row>
    <row r="198" customFormat="false" ht="15" hidden="false" customHeight="false" outlineLevel="0" collapsed="false">
      <c r="A198" s="11" t="s">
        <v>30</v>
      </c>
      <c r="B198" s="11" t="s">
        <v>578</v>
      </c>
      <c r="C198" s="11" t="s">
        <v>129</v>
      </c>
      <c r="D198" s="11" t="s">
        <v>586</v>
      </c>
      <c r="E198" s="12" t="n">
        <v>20</v>
      </c>
      <c r="F198" s="13" t="n">
        <f aca="false">E198/(1+Forudsætninger!$B$3)</f>
        <v>16</v>
      </c>
      <c r="G198" s="14" t="n">
        <v>8.8</v>
      </c>
      <c r="H198" s="15" t="n">
        <f aca="false">IF(OR(G198="",F198=0),"",(F198-G198)/F198)</f>
        <v>0.45</v>
      </c>
      <c r="I198" s="11" t="str">
        <f aca="false">IF(G198="","UKENDT",IF(OR(E198=0,H198&lt;0),"KRITISK",IF(H198&lt;0.2,"HØJ",IF(H198&lt;0.35,"MIDDEL","OK"))))</f>
        <v>OK</v>
      </c>
      <c r="J198" s="12" t="n">
        <f aca="false">IF(G198="","",MAX(E198,CEILING(G198/(1-Forudsætninger!$B$4)*(1+Forudsætninger!$B$3),IF(G198/(1-Forudsætninger!$B$4)*(1+Forudsætninger!$B$3)&lt;50,1,IF(G198/(1-Forudsætninger!$B$4)*(1+Forudsætninger!$B$3)&lt;200,5,10)))))</f>
        <v>20</v>
      </c>
      <c r="K198" s="15" t="n">
        <f aca="false">IF(OR(J198="",E198=0),"",J198/E198-1)</f>
        <v>0</v>
      </c>
      <c r="L198" s="15" t="n">
        <f aca="false">IF(J198="","",(J198/(1+Forudsætninger!$B$3)-G198)/(J198/(1+Forudsætninger!$B$3)))</f>
        <v>0.45</v>
      </c>
      <c r="M198" s="11" t="s">
        <v>587</v>
      </c>
      <c r="N198" s="11" t="s">
        <v>581</v>
      </c>
    </row>
    <row r="199" customFormat="false" ht="15" hidden="false" customHeight="false" outlineLevel="0" collapsed="false">
      <c r="A199" s="11" t="s">
        <v>30</v>
      </c>
      <c r="B199" s="11" t="s">
        <v>578</v>
      </c>
      <c r="C199" s="11" t="s">
        <v>132</v>
      </c>
      <c r="D199" s="11" t="s">
        <v>588</v>
      </c>
      <c r="E199" s="12" t="n">
        <v>20</v>
      </c>
      <c r="F199" s="13" t="n">
        <f aca="false">E199/(1+Forudsætninger!$B$3)</f>
        <v>16</v>
      </c>
      <c r="G199" s="14" t="n">
        <v>8.8</v>
      </c>
      <c r="H199" s="15" t="n">
        <f aca="false">IF(OR(G199="",F199=0),"",(F199-G199)/F199)</f>
        <v>0.45</v>
      </c>
      <c r="I199" s="11" t="str">
        <f aca="false">IF(G199="","UKENDT",IF(OR(E199=0,H199&lt;0),"KRITISK",IF(H199&lt;0.2,"HØJ",IF(H199&lt;0.35,"MIDDEL","OK"))))</f>
        <v>OK</v>
      </c>
      <c r="J199" s="12" t="n">
        <f aca="false">IF(G199="","",MAX(E199,CEILING(G199/(1-Forudsætninger!$B$4)*(1+Forudsætninger!$B$3),IF(G199/(1-Forudsætninger!$B$4)*(1+Forudsætninger!$B$3)&lt;50,1,IF(G199/(1-Forudsætninger!$B$4)*(1+Forudsætninger!$B$3)&lt;200,5,10)))))</f>
        <v>20</v>
      </c>
      <c r="K199" s="15" t="n">
        <f aca="false">IF(OR(J199="",E199=0),"",J199/E199-1)</f>
        <v>0</v>
      </c>
      <c r="L199" s="15" t="n">
        <f aca="false">IF(J199="","",(J199/(1+Forudsætninger!$B$3)-G199)/(J199/(1+Forudsætninger!$B$3)))</f>
        <v>0.45</v>
      </c>
      <c r="M199" s="11" t="s">
        <v>589</v>
      </c>
      <c r="N199" s="11" t="s">
        <v>581</v>
      </c>
    </row>
    <row r="200" customFormat="false" ht="15" hidden="false" customHeight="false" outlineLevel="0" collapsed="false">
      <c r="A200" s="11" t="s">
        <v>30</v>
      </c>
      <c r="B200" s="11" t="s">
        <v>578</v>
      </c>
      <c r="C200" s="11" t="s">
        <v>138</v>
      </c>
      <c r="D200" s="11" t="s">
        <v>590</v>
      </c>
      <c r="E200" s="12" t="n">
        <v>20</v>
      </c>
      <c r="F200" s="13" t="n">
        <f aca="false">E200/(1+Forudsætninger!$B$3)</f>
        <v>16</v>
      </c>
      <c r="G200" s="14" t="n">
        <v>8.8</v>
      </c>
      <c r="H200" s="15" t="n">
        <f aca="false">IF(OR(G200="",F200=0),"",(F200-G200)/F200)</f>
        <v>0.45</v>
      </c>
      <c r="I200" s="11" t="str">
        <f aca="false">IF(G200="","UKENDT",IF(OR(E200=0,H200&lt;0),"KRITISK",IF(H200&lt;0.2,"HØJ",IF(H200&lt;0.35,"MIDDEL","OK"))))</f>
        <v>OK</v>
      </c>
      <c r="J200" s="12" t="n">
        <f aca="false">IF(G200="","",MAX(E200,CEILING(G200/(1-Forudsætninger!$B$4)*(1+Forudsætninger!$B$3),IF(G200/(1-Forudsætninger!$B$4)*(1+Forudsætninger!$B$3)&lt;50,1,IF(G200/(1-Forudsætninger!$B$4)*(1+Forudsætninger!$B$3)&lt;200,5,10)))))</f>
        <v>20</v>
      </c>
      <c r="K200" s="15" t="n">
        <f aca="false">IF(OR(J200="",E200=0),"",J200/E200-1)</f>
        <v>0</v>
      </c>
      <c r="L200" s="15" t="n">
        <f aca="false">IF(J200="","",(J200/(1+Forudsætninger!$B$3)-G200)/(J200/(1+Forudsætninger!$B$3)))</f>
        <v>0.45</v>
      </c>
      <c r="M200" s="11" t="s">
        <v>591</v>
      </c>
      <c r="N200" s="11" t="s">
        <v>581</v>
      </c>
    </row>
    <row r="201" customFormat="false" ht="15" hidden="false" customHeight="false" outlineLevel="0" collapsed="false">
      <c r="A201" s="11" t="s">
        <v>30</v>
      </c>
      <c r="B201" s="11" t="s">
        <v>592</v>
      </c>
      <c r="C201" s="11" t="s">
        <v>123</v>
      </c>
      <c r="D201" s="11" t="s">
        <v>593</v>
      </c>
      <c r="E201" s="12" t="n">
        <v>20</v>
      </c>
      <c r="F201" s="13" t="n">
        <f aca="false">E201/(1+Forudsætninger!$B$3)</f>
        <v>16</v>
      </c>
      <c r="G201" s="14" t="n">
        <v>8.8</v>
      </c>
      <c r="H201" s="15" t="n">
        <f aca="false">IF(OR(G201="",F201=0),"",(F201-G201)/F201)</f>
        <v>0.45</v>
      </c>
      <c r="I201" s="11" t="str">
        <f aca="false">IF(G201="","UKENDT",IF(OR(E201=0,H201&lt;0),"KRITISK",IF(H201&lt;0.2,"HØJ",IF(H201&lt;0.35,"MIDDEL","OK"))))</f>
        <v>OK</v>
      </c>
      <c r="J201" s="12" t="n">
        <f aca="false">IF(G201="","",MAX(E201,CEILING(G201/(1-Forudsætninger!$B$4)*(1+Forudsætninger!$B$3),IF(G201/(1-Forudsætninger!$B$4)*(1+Forudsætninger!$B$3)&lt;50,1,IF(G201/(1-Forudsætninger!$B$4)*(1+Forudsætninger!$B$3)&lt;200,5,10)))))</f>
        <v>20</v>
      </c>
      <c r="K201" s="15" t="n">
        <f aca="false">IF(OR(J201="",E201=0),"",J201/E201-1)</f>
        <v>0</v>
      </c>
      <c r="L201" s="15" t="n">
        <f aca="false">IF(J201="","",(J201/(1+Forudsætninger!$B$3)-G201)/(J201/(1+Forudsætninger!$B$3)))</f>
        <v>0.45</v>
      </c>
      <c r="M201" s="11" t="s">
        <v>594</v>
      </c>
      <c r="N201" s="11" t="s">
        <v>581</v>
      </c>
    </row>
    <row r="202" customFormat="false" ht="15" hidden="false" customHeight="false" outlineLevel="0" collapsed="false">
      <c r="A202" s="11" t="s">
        <v>30</v>
      </c>
      <c r="B202" s="11" t="s">
        <v>592</v>
      </c>
      <c r="C202" s="11" t="s">
        <v>126</v>
      </c>
      <c r="D202" s="11" t="s">
        <v>595</v>
      </c>
      <c r="E202" s="12" t="n">
        <v>20</v>
      </c>
      <c r="F202" s="13" t="n">
        <f aca="false">E202/(1+Forudsætninger!$B$3)</f>
        <v>16</v>
      </c>
      <c r="G202" s="14" t="n">
        <v>8.8</v>
      </c>
      <c r="H202" s="15" t="n">
        <f aca="false">IF(OR(G202="",F202=0),"",(F202-G202)/F202)</f>
        <v>0.45</v>
      </c>
      <c r="I202" s="11" t="str">
        <f aca="false">IF(G202="","UKENDT",IF(OR(E202=0,H202&lt;0),"KRITISK",IF(H202&lt;0.2,"HØJ",IF(H202&lt;0.35,"MIDDEL","OK"))))</f>
        <v>OK</v>
      </c>
      <c r="J202" s="12" t="n">
        <f aca="false">IF(G202="","",MAX(E202,CEILING(G202/(1-Forudsætninger!$B$4)*(1+Forudsætninger!$B$3),IF(G202/(1-Forudsætninger!$B$4)*(1+Forudsætninger!$B$3)&lt;50,1,IF(G202/(1-Forudsætninger!$B$4)*(1+Forudsætninger!$B$3)&lt;200,5,10)))))</f>
        <v>20</v>
      </c>
      <c r="K202" s="15" t="n">
        <f aca="false">IF(OR(J202="",E202=0),"",J202/E202-1)</f>
        <v>0</v>
      </c>
      <c r="L202" s="15" t="n">
        <f aca="false">IF(J202="","",(J202/(1+Forudsætninger!$B$3)-G202)/(J202/(1+Forudsætninger!$B$3)))</f>
        <v>0.45</v>
      </c>
      <c r="M202" s="11" t="s">
        <v>596</v>
      </c>
      <c r="N202" s="11" t="s">
        <v>581</v>
      </c>
    </row>
    <row r="203" customFormat="false" ht="15" hidden="false" customHeight="false" outlineLevel="0" collapsed="false">
      <c r="A203" s="11" t="s">
        <v>30</v>
      </c>
      <c r="B203" s="11" t="s">
        <v>592</v>
      </c>
      <c r="C203" s="11" t="s">
        <v>129</v>
      </c>
      <c r="D203" s="11" t="s">
        <v>597</v>
      </c>
      <c r="E203" s="12" t="n">
        <v>20</v>
      </c>
      <c r="F203" s="13" t="n">
        <f aca="false">E203/(1+Forudsætninger!$B$3)</f>
        <v>16</v>
      </c>
      <c r="G203" s="14" t="n">
        <v>8.8</v>
      </c>
      <c r="H203" s="15" t="n">
        <f aca="false">IF(OR(G203="",F203=0),"",(F203-G203)/F203)</f>
        <v>0.45</v>
      </c>
      <c r="I203" s="11" t="str">
        <f aca="false">IF(G203="","UKENDT",IF(OR(E203=0,H203&lt;0),"KRITISK",IF(H203&lt;0.2,"HØJ",IF(H203&lt;0.35,"MIDDEL","OK"))))</f>
        <v>OK</v>
      </c>
      <c r="J203" s="12" t="n">
        <f aca="false">IF(G203="","",MAX(E203,CEILING(G203/(1-Forudsætninger!$B$4)*(1+Forudsætninger!$B$3),IF(G203/(1-Forudsætninger!$B$4)*(1+Forudsætninger!$B$3)&lt;50,1,IF(G203/(1-Forudsætninger!$B$4)*(1+Forudsætninger!$B$3)&lt;200,5,10)))))</f>
        <v>20</v>
      </c>
      <c r="K203" s="15" t="n">
        <f aca="false">IF(OR(J203="",E203=0),"",J203/E203-1)</f>
        <v>0</v>
      </c>
      <c r="L203" s="15" t="n">
        <f aca="false">IF(J203="","",(J203/(1+Forudsætninger!$B$3)-G203)/(J203/(1+Forudsætninger!$B$3)))</f>
        <v>0.45</v>
      </c>
      <c r="M203" s="11" t="s">
        <v>598</v>
      </c>
      <c r="N203" s="11" t="s">
        <v>581</v>
      </c>
    </row>
    <row r="204" customFormat="false" ht="15" hidden="false" customHeight="false" outlineLevel="0" collapsed="false">
      <c r="A204" s="11" t="s">
        <v>30</v>
      </c>
      <c r="B204" s="11" t="s">
        <v>592</v>
      </c>
      <c r="C204" s="11" t="s">
        <v>132</v>
      </c>
      <c r="D204" s="11" t="s">
        <v>599</v>
      </c>
      <c r="E204" s="12" t="n">
        <v>20</v>
      </c>
      <c r="F204" s="13" t="n">
        <f aca="false">E204/(1+Forudsætninger!$B$3)</f>
        <v>16</v>
      </c>
      <c r="G204" s="14" t="n">
        <v>8.8</v>
      </c>
      <c r="H204" s="15" t="n">
        <f aca="false">IF(OR(G204="",F204=0),"",(F204-G204)/F204)</f>
        <v>0.45</v>
      </c>
      <c r="I204" s="11" t="str">
        <f aca="false">IF(G204="","UKENDT",IF(OR(E204=0,H204&lt;0),"KRITISK",IF(H204&lt;0.2,"HØJ",IF(H204&lt;0.35,"MIDDEL","OK"))))</f>
        <v>OK</v>
      </c>
      <c r="J204" s="12" t="n">
        <f aca="false">IF(G204="","",MAX(E204,CEILING(G204/(1-Forudsætninger!$B$4)*(1+Forudsætninger!$B$3),IF(G204/(1-Forudsætninger!$B$4)*(1+Forudsætninger!$B$3)&lt;50,1,IF(G204/(1-Forudsætninger!$B$4)*(1+Forudsætninger!$B$3)&lt;200,5,10)))))</f>
        <v>20</v>
      </c>
      <c r="K204" s="15" t="n">
        <f aca="false">IF(OR(J204="",E204=0),"",J204/E204-1)</f>
        <v>0</v>
      </c>
      <c r="L204" s="15" t="n">
        <f aca="false">IF(J204="","",(J204/(1+Forudsætninger!$B$3)-G204)/(J204/(1+Forudsætninger!$B$3)))</f>
        <v>0.45</v>
      </c>
      <c r="M204" s="11" t="s">
        <v>600</v>
      </c>
      <c r="N204" s="11" t="s">
        <v>581</v>
      </c>
    </row>
    <row r="205" customFormat="false" ht="15" hidden="false" customHeight="false" outlineLevel="0" collapsed="false">
      <c r="A205" s="11" t="s">
        <v>30</v>
      </c>
      <c r="B205" s="11" t="s">
        <v>592</v>
      </c>
      <c r="C205" s="11" t="s">
        <v>135</v>
      </c>
      <c r="D205" s="11" t="s">
        <v>601</v>
      </c>
      <c r="E205" s="12" t="n">
        <v>20</v>
      </c>
      <c r="F205" s="13" t="n">
        <f aca="false">E205/(1+Forudsætninger!$B$3)</f>
        <v>16</v>
      </c>
      <c r="G205" s="14" t="n">
        <v>8.8</v>
      </c>
      <c r="H205" s="15" t="n">
        <f aca="false">IF(OR(G205="",F205=0),"",(F205-G205)/F205)</f>
        <v>0.45</v>
      </c>
      <c r="I205" s="11" t="str">
        <f aca="false">IF(G205="","UKENDT",IF(OR(E205=0,H205&lt;0),"KRITISK",IF(H205&lt;0.2,"HØJ",IF(H205&lt;0.35,"MIDDEL","OK"))))</f>
        <v>OK</v>
      </c>
      <c r="J205" s="12" t="n">
        <f aca="false">IF(G205="","",MAX(E205,CEILING(G205/(1-Forudsætninger!$B$4)*(1+Forudsætninger!$B$3),IF(G205/(1-Forudsætninger!$B$4)*(1+Forudsætninger!$B$3)&lt;50,1,IF(G205/(1-Forudsætninger!$B$4)*(1+Forudsætninger!$B$3)&lt;200,5,10)))))</f>
        <v>20</v>
      </c>
      <c r="K205" s="15" t="n">
        <f aca="false">IF(OR(J205="",E205=0),"",J205/E205-1)</f>
        <v>0</v>
      </c>
      <c r="L205" s="15" t="n">
        <f aca="false">IF(J205="","",(J205/(1+Forudsætninger!$B$3)-G205)/(J205/(1+Forudsætninger!$B$3)))</f>
        <v>0.45</v>
      </c>
      <c r="M205" s="11" t="s">
        <v>602</v>
      </c>
      <c r="N205" s="11" t="s">
        <v>581</v>
      </c>
    </row>
    <row r="206" customFormat="false" ht="15" hidden="false" customHeight="false" outlineLevel="0" collapsed="false">
      <c r="A206" s="11" t="s">
        <v>30</v>
      </c>
      <c r="B206" s="11" t="s">
        <v>592</v>
      </c>
      <c r="C206" s="11" t="s">
        <v>138</v>
      </c>
      <c r="D206" s="11" t="s">
        <v>603</v>
      </c>
      <c r="E206" s="12" t="n">
        <v>20</v>
      </c>
      <c r="F206" s="13" t="n">
        <f aca="false">E206/(1+Forudsætninger!$B$3)</f>
        <v>16</v>
      </c>
      <c r="G206" s="14" t="n">
        <v>8.8</v>
      </c>
      <c r="H206" s="15" t="n">
        <f aca="false">IF(OR(G206="",F206=0),"",(F206-G206)/F206)</f>
        <v>0.45</v>
      </c>
      <c r="I206" s="11" t="str">
        <f aca="false">IF(G206="","UKENDT",IF(OR(E206=0,H206&lt;0),"KRITISK",IF(H206&lt;0.2,"HØJ",IF(H206&lt;0.35,"MIDDEL","OK"))))</f>
        <v>OK</v>
      </c>
      <c r="J206" s="12" t="n">
        <f aca="false">IF(G206="","",MAX(E206,CEILING(G206/(1-Forudsætninger!$B$4)*(1+Forudsætninger!$B$3),IF(G206/(1-Forudsætninger!$B$4)*(1+Forudsætninger!$B$3)&lt;50,1,IF(G206/(1-Forudsætninger!$B$4)*(1+Forudsætninger!$B$3)&lt;200,5,10)))))</f>
        <v>20</v>
      </c>
      <c r="K206" s="15" t="n">
        <f aca="false">IF(OR(J206="",E206=0),"",J206/E206-1)</f>
        <v>0</v>
      </c>
      <c r="L206" s="15" t="n">
        <f aca="false">IF(J206="","",(J206/(1+Forudsætninger!$B$3)-G206)/(J206/(1+Forudsætninger!$B$3)))</f>
        <v>0.45</v>
      </c>
      <c r="M206" s="11" t="s">
        <v>604</v>
      </c>
      <c r="N206" s="11" t="s">
        <v>581</v>
      </c>
    </row>
    <row r="207" customFormat="false" ht="15" hidden="false" customHeight="false" outlineLevel="0" collapsed="false">
      <c r="A207" s="11" t="s">
        <v>30</v>
      </c>
      <c r="B207" s="11" t="s">
        <v>592</v>
      </c>
      <c r="C207" s="11" t="s">
        <v>141</v>
      </c>
      <c r="D207" s="11" t="s">
        <v>605</v>
      </c>
      <c r="E207" s="12" t="n">
        <v>20</v>
      </c>
      <c r="F207" s="13" t="n">
        <f aca="false">E207/(1+Forudsætninger!$B$3)</f>
        <v>16</v>
      </c>
      <c r="G207" s="14" t="n">
        <v>8.8</v>
      </c>
      <c r="H207" s="15" t="n">
        <f aca="false">IF(OR(G207="",F207=0),"",(F207-G207)/F207)</f>
        <v>0.45</v>
      </c>
      <c r="I207" s="11" t="str">
        <f aca="false">IF(G207="","UKENDT",IF(OR(E207=0,H207&lt;0),"KRITISK",IF(H207&lt;0.2,"HØJ",IF(H207&lt;0.35,"MIDDEL","OK"))))</f>
        <v>OK</v>
      </c>
      <c r="J207" s="12" t="n">
        <f aca="false">IF(G207="","",MAX(E207,CEILING(G207/(1-Forudsætninger!$B$4)*(1+Forudsætninger!$B$3),IF(G207/(1-Forudsætninger!$B$4)*(1+Forudsætninger!$B$3)&lt;50,1,IF(G207/(1-Forudsætninger!$B$4)*(1+Forudsætninger!$B$3)&lt;200,5,10)))))</f>
        <v>20</v>
      </c>
      <c r="K207" s="15" t="n">
        <f aca="false">IF(OR(J207="",E207=0),"",J207/E207-1)</f>
        <v>0</v>
      </c>
      <c r="L207" s="15" t="n">
        <f aca="false">IF(J207="","",(J207/(1+Forudsætninger!$B$3)-G207)/(J207/(1+Forudsætninger!$B$3)))</f>
        <v>0.45</v>
      </c>
      <c r="M207" s="11" t="s">
        <v>606</v>
      </c>
      <c r="N207" s="11" t="s">
        <v>581</v>
      </c>
    </row>
    <row r="208" customFormat="false" ht="15" hidden="false" customHeight="false" outlineLevel="0" collapsed="false">
      <c r="A208" s="11" t="s">
        <v>30</v>
      </c>
      <c r="B208" s="11" t="s">
        <v>607</v>
      </c>
      <c r="C208" s="11" t="s">
        <v>126</v>
      </c>
      <c r="D208" s="11" t="s">
        <v>608</v>
      </c>
      <c r="E208" s="12" t="n">
        <v>40</v>
      </c>
      <c r="F208" s="13" t="n">
        <f aca="false">E208/(1+Forudsætninger!$B$3)</f>
        <v>32</v>
      </c>
      <c r="G208" s="14" t="n">
        <v>17.6</v>
      </c>
      <c r="H208" s="15" t="n">
        <f aca="false">IF(OR(G208="",F208=0),"",(F208-G208)/F208)</f>
        <v>0.45</v>
      </c>
      <c r="I208" s="11" t="str">
        <f aca="false">IF(G208="","UKENDT",IF(OR(E208=0,H208&lt;0),"KRITISK",IF(H208&lt;0.2,"HØJ",IF(H208&lt;0.35,"MIDDEL","OK"))))</f>
        <v>OK</v>
      </c>
      <c r="J208" s="12" t="n">
        <f aca="false">IF(G208="","",MAX(E208,CEILING(G208/(1-Forudsætninger!$B$4)*(1+Forudsætninger!$B$3),IF(G208/(1-Forudsætninger!$B$4)*(1+Forudsætninger!$B$3)&lt;50,1,IF(G208/(1-Forudsætninger!$B$4)*(1+Forudsætninger!$B$3)&lt;200,5,10)))))</f>
        <v>40</v>
      </c>
      <c r="K208" s="15" t="n">
        <f aca="false">IF(OR(J208="",E208=0),"",J208/E208-1)</f>
        <v>0</v>
      </c>
      <c r="L208" s="15" t="n">
        <f aca="false">IF(J208="","",(J208/(1+Forudsætninger!$B$3)-G208)/(J208/(1+Forudsætninger!$B$3)))</f>
        <v>0.45</v>
      </c>
      <c r="M208" s="11" t="s">
        <v>609</v>
      </c>
      <c r="N208" s="11" t="s">
        <v>610</v>
      </c>
    </row>
    <row r="209" customFormat="false" ht="15" hidden="false" customHeight="false" outlineLevel="0" collapsed="false">
      <c r="A209" s="11" t="s">
        <v>30</v>
      </c>
      <c r="B209" s="11" t="s">
        <v>607</v>
      </c>
      <c r="C209" s="11" t="s">
        <v>129</v>
      </c>
      <c r="D209" s="11" t="s">
        <v>611</v>
      </c>
      <c r="E209" s="12" t="n">
        <v>40</v>
      </c>
      <c r="F209" s="13" t="n">
        <f aca="false">E209/(1+Forudsætninger!$B$3)</f>
        <v>32</v>
      </c>
      <c r="G209" s="14" t="n">
        <v>17.6</v>
      </c>
      <c r="H209" s="15" t="n">
        <f aca="false">IF(OR(G209="",F209=0),"",(F209-G209)/F209)</f>
        <v>0.45</v>
      </c>
      <c r="I209" s="11" t="str">
        <f aca="false">IF(G209="","UKENDT",IF(OR(E209=0,H209&lt;0),"KRITISK",IF(H209&lt;0.2,"HØJ",IF(H209&lt;0.35,"MIDDEL","OK"))))</f>
        <v>OK</v>
      </c>
      <c r="J209" s="12" t="n">
        <f aca="false">IF(G209="","",MAX(E209,CEILING(G209/(1-Forudsætninger!$B$4)*(1+Forudsætninger!$B$3),IF(G209/(1-Forudsætninger!$B$4)*(1+Forudsætninger!$B$3)&lt;50,1,IF(G209/(1-Forudsætninger!$B$4)*(1+Forudsætninger!$B$3)&lt;200,5,10)))))</f>
        <v>40</v>
      </c>
      <c r="K209" s="15" t="n">
        <f aca="false">IF(OR(J209="",E209=0),"",J209/E209-1)</f>
        <v>0</v>
      </c>
      <c r="L209" s="15" t="n">
        <f aca="false">IF(J209="","",(J209/(1+Forudsætninger!$B$3)-G209)/(J209/(1+Forudsætninger!$B$3)))</f>
        <v>0.45</v>
      </c>
      <c r="M209" s="11" t="s">
        <v>612</v>
      </c>
      <c r="N209" s="11" t="s">
        <v>610</v>
      </c>
    </row>
    <row r="210" customFormat="false" ht="15" hidden="false" customHeight="false" outlineLevel="0" collapsed="false">
      <c r="A210" s="11" t="s">
        <v>30</v>
      </c>
      <c r="B210" s="11" t="s">
        <v>607</v>
      </c>
      <c r="C210" s="11" t="s">
        <v>132</v>
      </c>
      <c r="D210" s="11" t="s">
        <v>613</v>
      </c>
      <c r="E210" s="12" t="n">
        <v>40</v>
      </c>
      <c r="F210" s="13" t="n">
        <f aca="false">E210/(1+Forudsætninger!$B$3)</f>
        <v>32</v>
      </c>
      <c r="G210" s="14" t="n">
        <v>17.6</v>
      </c>
      <c r="H210" s="15" t="n">
        <f aca="false">IF(OR(G210="",F210=0),"",(F210-G210)/F210)</f>
        <v>0.45</v>
      </c>
      <c r="I210" s="11" t="str">
        <f aca="false">IF(G210="","UKENDT",IF(OR(E210=0,H210&lt;0),"KRITISK",IF(H210&lt;0.2,"HØJ",IF(H210&lt;0.35,"MIDDEL","OK"))))</f>
        <v>OK</v>
      </c>
      <c r="J210" s="12" t="n">
        <f aca="false">IF(G210="","",MAX(E210,CEILING(G210/(1-Forudsætninger!$B$4)*(1+Forudsætninger!$B$3),IF(G210/(1-Forudsætninger!$B$4)*(1+Forudsætninger!$B$3)&lt;50,1,IF(G210/(1-Forudsætninger!$B$4)*(1+Forudsætninger!$B$3)&lt;200,5,10)))))</f>
        <v>40</v>
      </c>
      <c r="K210" s="15" t="n">
        <f aca="false">IF(OR(J210="",E210=0),"",J210/E210-1)</f>
        <v>0</v>
      </c>
      <c r="L210" s="15" t="n">
        <f aca="false">IF(J210="","",(J210/(1+Forudsætninger!$B$3)-G210)/(J210/(1+Forudsætninger!$B$3)))</f>
        <v>0.45</v>
      </c>
      <c r="M210" s="11" t="s">
        <v>614</v>
      </c>
      <c r="N210" s="11" t="s">
        <v>610</v>
      </c>
    </row>
    <row r="211" customFormat="false" ht="15" hidden="false" customHeight="false" outlineLevel="0" collapsed="false">
      <c r="A211" s="11" t="s">
        <v>30</v>
      </c>
      <c r="B211" s="11" t="s">
        <v>607</v>
      </c>
      <c r="C211" s="11" t="s">
        <v>135</v>
      </c>
      <c r="D211" s="11" t="s">
        <v>615</v>
      </c>
      <c r="E211" s="12" t="n">
        <v>40</v>
      </c>
      <c r="F211" s="13" t="n">
        <f aca="false">E211/(1+Forudsætninger!$B$3)</f>
        <v>32</v>
      </c>
      <c r="G211" s="14" t="n">
        <v>17.6</v>
      </c>
      <c r="H211" s="15" t="n">
        <f aca="false">IF(OR(G211="",F211=0),"",(F211-G211)/F211)</f>
        <v>0.45</v>
      </c>
      <c r="I211" s="11" t="str">
        <f aca="false">IF(G211="","UKENDT",IF(OR(E211=0,H211&lt;0),"KRITISK",IF(H211&lt;0.2,"HØJ",IF(H211&lt;0.35,"MIDDEL","OK"))))</f>
        <v>OK</v>
      </c>
      <c r="J211" s="12" t="n">
        <f aca="false">IF(G211="","",MAX(E211,CEILING(G211/(1-Forudsætninger!$B$4)*(1+Forudsætninger!$B$3),IF(G211/(1-Forudsætninger!$B$4)*(1+Forudsætninger!$B$3)&lt;50,1,IF(G211/(1-Forudsætninger!$B$4)*(1+Forudsætninger!$B$3)&lt;200,5,10)))))</f>
        <v>40</v>
      </c>
      <c r="K211" s="15" t="n">
        <f aca="false">IF(OR(J211="",E211=0),"",J211/E211-1)</f>
        <v>0</v>
      </c>
      <c r="L211" s="15" t="n">
        <f aca="false">IF(J211="","",(J211/(1+Forudsætninger!$B$3)-G211)/(J211/(1+Forudsætninger!$B$3)))</f>
        <v>0.45</v>
      </c>
      <c r="M211" s="11" t="s">
        <v>616</v>
      </c>
      <c r="N211" s="11" t="s">
        <v>610</v>
      </c>
    </row>
    <row r="212" customFormat="false" ht="15" hidden="false" customHeight="false" outlineLevel="0" collapsed="false">
      <c r="A212" s="11" t="s">
        <v>30</v>
      </c>
      <c r="B212" s="11" t="s">
        <v>607</v>
      </c>
      <c r="C212" s="11" t="s">
        <v>138</v>
      </c>
      <c r="D212" s="11" t="s">
        <v>617</v>
      </c>
      <c r="E212" s="12" t="n">
        <v>40</v>
      </c>
      <c r="F212" s="13" t="n">
        <f aca="false">E212/(1+Forudsætninger!$B$3)</f>
        <v>32</v>
      </c>
      <c r="G212" s="14" t="n">
        <v>17.6</v>
      </c>
      <c r="H212" s="15" t="n">
        <f aca="false">IF(OR(G212="",F212=0),"",(F212-G212)/F212)</f>
        <v>0.45</v>
      </c>
      <c r="I212" s="11" t="str">
        <f aca="false">IF(G212="","UKENDT",IF(OR(E212=0,H212&lt;0),"KRITISK",IF(H212&lt;0.2,"HØJ",IF(H212&lt;0.35,"MIDDEL","OK"))))</f>
        <v>OK</v>
      </c>
      <c r="J212" s="12" t="n">
        <f aca="false">IF(G212="","",MAX(E212,CEILING(G212/(1-Forudsætninger!$B$4)*(1+Forudsætninger!$B$3),IF(G212/(1-Forudsætninger!$B$4)*(1+Forudsætninger!$B$3)&lt;50,1,IF(G212/(1-Forudsætninger!$B$4)*(1+Forudsætninger!$B$3)&lt;200,5,10)))))</f>
        <v>40</v>
      </c>
      <c r="K212" s="15" t="n">
        <f aca="false">IF(OR(J212="",E212=0),"",J212/E212-1)</f>
        <v>0</v>
      </c>
      <c r="L212" s="15" t="n">
        <f aca="false">IF(J212="","",(J212/(1+Forudsætninger!$B$3)-G212)/(J212/(1+Forudsætninger!$B$3)))</f>
        <v>0.45</v>
      </c>
      <c r="M212" s="11" t="s">
        <v>618</v>
      </c>
      <c r="N212" s="11" t="s">
        <v>610</v>
      </c>
    </row>
    <row r="213" customFormat="false" ht="15" hidden="false" customHeight="false" outlineLevel="0" collapsed="false">
      <c r="A213" s="11" t="s">
        <v>30</v>
      </c>
      <c r="B213" s="11" t="s">
        <v>607</v>
      </c>
      <c r="C213" s="11" t="s">
        <v>375</v>
      </c>
      <c r="D213" s="11" t="s">
        <v>619</v>
      </c>
      <c r="E213" s="12" t="n">
        <v>40</v>
      </c>
      <c r="F213" s="13" t="n">
        <f aca="false">E213/(1+Forudsætninger!$B$3)</f>
        <v>32</v>
      </c>
      <c r="G213" s="14" t="n">
        <v>17.6</v>
      </c>
      <c r="H213" s="15" t="n">
        <f aca="false">IF(OR(G213="",F213=0),"",(F213-G213)/F213)</f>
        <v>0.45</v>
      </c>
      <c r="I213" s="11" t="str">
        <f aca="false">IF(G213="","UKENDT",IF(OR(E213=0,H213&lt;0),"KRITISK",IF(H213&lt;0.2,"HØJ",IF(H213&lt;0.35,"MIDDEL","OK"))))</f>
        <v>OK</v>
      </c>
      <c r="J213" s="12" t="n">
        <f aca="false">IF(G213="","",MAX(E213,CEILING(G213/(1-Forudsætninger!$B$4)*(1+Forudsætninger!$B$3),IF(G213/(1-Forudsætninger!$B$4)*(1+Forudsætninger!$B$3)&lt;50,1,IF(G213/(1-Forudsætninger!$B$4)*(1+Forudsætninger!$B$3)&lt;200,5,10)))))</f>
        <v>40</v>
      </c>
      <c r="K213" s="15" t="n">
        <f aca="false">IF(OR(J213="",E213=0),"",J213/E213-1)</f>
        <v>0</v>
      </c>
      <c r="L213" s="15" t="n">
        <f aca="false">IF(J213="","",(J213/(1+Forudsætninger!$B$3)-G213)/(J213/(1+Forudsætninger!$B$3)))</f>
        <v>0.45</v>
      </c>
      <c r="M213" s="11" t="s">
        <v>620</v>
      </c>
      <c r="N213" s="11" t="s">
        <v>610</v>
      </c>
    </row>
    <row r="214" customFormat="false" ht="15" hidden="false" customHeight="false" outlineLevel="0" collapsed="false">
      <c r="A214" s="11" t="s">
        <v>30</v>
      </c>
      <c r="B214" s="11" t="s">
        <v>607</v>
      </c>
      <c r="C214" s="11" t="s">
        <v>141</v>
      </c>
      <c r="D214" s="11" t="s">
        <v>621</v>
      </c>
      <c r="E214" s="12" t="n">
        <v>40</v>
      </c>
      <c r="F214" s="13" t="n">
        <f aca="false">E214/(1+Forudsætninger!$B$3)</f>
        <v>32</v>
      </c>
      <c r="G214" s="14" t="n">
        <v>17.6</v>
      </c>
      <c r="H214" s="15" t="n">
        <f aca="false">IF(OR(G214="",F214=0),"",(F214-G214)/F214)</f>
        <v>0.45</v>
      </c>
      <c r="I214" s="11" t="str">
        <f aca="false">IF(G214="","UKENDT",IF(OR(E214=0,H214&lt;0),"KRITISK",IF(H214&lt;0.2,"HØJ",IF(H214&lt;0.35,"MIDDEL","OK"))))</f>
        <v>OK</v>
      </c>
      <c r="J214" s="12" t="n">
        <f aca="false">IF(G214="","",MAX(E214,CEILING(G214/(1-Forudsætninger!$B$4)*(1+Forudsætninger!$B$3),IF(G214/(1-Forudsætninger!$B$4)*(1+Forudsætninger!$B$3)&lt;50,1,IF(G214/(1-Forudsætninger!$B$4)*(1+Forudsætninger!$B$3)&lt;200,5,10)))))</f>
        <v>40</v>
      </c>
      <c r="K214" s="15" t="n">
        <f aca="false">IF(OR(J214="",E214=0),"",J214/E214-1)</f>
        <v>0</v>
      </c>
      <c r="L214" s="15" t="n">
        <f aca="false">IF(J214="","",(J214/(1+Forudsætninger!$B$3)-G214)/(J214/(1+Forudsætninger!$B$3)))</f>
        <v>0.45</v>
      </c>
      <c r="M214" s="11" t="s">
        <v>622</v>
      </c>
      <c r="N214" s="11" t="s">
        <v>610</v>
      </c>
    </row>
    <row r="215" customFormat="false" ht="15" hidden="false" customHeight="false" outlineLevel="0" collapsed="false">
      <c r="A215" s="11" t="s">
        <v>30</v>
      </c>
      <c r="B215" s="11" t="s">
        <v>592</v>
      </c>
      <c r="C215" s="11" t="s">
        <v>123</v>
      </c>
      <c r="D215" s="11" t="s">
        <v>623</v>
      </c>
      <c r="E215" s="12" t="n">
        <v>45</v>
      </c>
      <c r="F215" s="13" t="n">
        <f aca="false">E215/(1+Forudsætninger!$B$3)</f>
        <v>36</v>
      </c>
      <c r="G215" s="14" t="n">
        <v>19.8</v>
      </c>
      <c r="H215" s="15" t="n">
        <f aca="false">IF(OR(G215="",F215=0),"",(F215-G215)/F215)</f>
        <v>0.45</v>
      </c>
      <c r="I215" s="11" t="str">
        <f aca="false">IF(G215="","UKENDT",IF(OR(E215=0,H215&lt;0),"KRITISK",IF(H215&lt;0.2,"HØJ",IF(H215&lt;0.35,"MIDDEL","OK"))))</f>
        <v>OK</v>
      </c>
      <c r="J215" s="12" t="n">
        <f aca="false">IF(G215="","",MAX(E215,CEILING(G215/(1-Forudsætninger!$B$4)*(1+Forudsætninger!$B$3),IF(G215/(1-Forudsætninger!$B$4)*(1+Forudsætninger!$B$3)&lt;50,1,IF(G215/(1-Forudsætninger!$B$4)*(1+Forudsætninger!$B$3)&lt;200,5,10)))))</f>
        <v>45</v>
      </c>
      <c r="K215" s="15" t="n">
        <f aca="false">IF(OR(J215="",E215=0),"",J215/E215-1)</f>
        <v>0</v>
      </c>
      <c r="L215" s="15" t="n">
        <f aca="false">IF(J215="","",(J215/(1+Forudsætninger!$B$3)-G215)/(J215/(1+Forudsætninger!$B$3)))</f>
        <v>0.45</v>
      </c>
      <c r="M215" s="11" t="s">
        <v>624</v>
      </c>
      <c r="N215" s="11" t="s">
        <v>625</v>
      </c>
    </row>
    <row r="216" customFormat="false" ht="15" hidden="false" customHeight="false" outlineLevel="0" collapsed="false">
      <c r="A216" s="11" t="s">
        <v>30</v>
      </c>
      <c r="B216" s="11" t="s">
        <v>592</v>
      </c>
      <c r="C216" s="11" t="s">
        <v>126</v>
      </c>
      <c r="D216" s="11" t="s">
        <v>626</v>
      </c>
      <c r="E216" s="12" t="n">
        <v>45</v>
      </c>
      <c r="F216" s="13" t="n">
        <f aca="false">E216/(1+Forudsætninger!$B$3)</f>
        <v>36</v>
      </c>
      <c r="G216" s="14" t="n">
        <v>19.8</v>
      </c>
      <c r="H216" s="15" t="n">
        <f aca="false">IF(OR(G216="",F216=0),"",(F216-G216)/F216)</f>
        <v>0.45</v>
      </c>
      <c r="I216" s="11" t="str">
        <f aca="false">IF(G216="","UKENDT",IF(OR(E216=0,H216&lt;0),"KRITISK",IF(H216&lt;0.2,"HØJ",IF(H216&lt;0.35,"MIDDEL","OK"))))</f>
        <v>OK</v>
      </c>
      <c r="J216" s="12" t="n">
        <f aca="false">IF(G216="","",MAX(E216,CEILING(G216/(1-Forudsætninger!$B$4)*(1+Forudsætninger!$B$3),IF(G216/(1-Forudsætninger!$B$4)*(1+Forudsætninger!$B$3)&lt;50,1,IF(G216/(1-Forudsætninger!$B$4)*(1+Forudsætninger!$B$3)&lt;200,5,10)))))</f>
        <v>45</v>
      </c>
      <c r="K216" s="15" t="n">
        <f aca="false">IF(OR(J216="",E216=0),"",J216/E216-1)</f>
        <v>0</v>
      </c>
      <c r="L216" s="15" t="n">
        <f aca="false">IF(J216="","",(J216/(1+Forudsætninger!$B$3)-G216)/(J216/(1+Forudsætninger!$B$3)))</f>
        <v>0.45</v>
      </c>
      <c r="M216" s="11" t="s">
        <v>627</v>
      </c>
      <c r="N216" s="11" t="s">
        <v>625</v>
      </c>
    </row>
    <row r="217" customFormat="false" ht="15" hidden="false" customHeight="false" outlineLevel="0" collapsed="false">
      <c r="A217" s="11" t="s">
        <v>30</v>
      </c>
      <c r="B217" s="11" t="s">
        <v>592</v>
      </c>
      <c r="C217" s="11" t="s">
        <v>129</v>
      </c>
      <c r="D217" s="11" t="s">
        <v>628</v>
      </c>
      <c r="E217" s="12" t="n">
        <v>45</v>
      </c>
      <c r="F217" s="13" t="n">
        <f aca="false">E217/(1+Forudsætninger!$B$3)</f>
        <v>36</v>
      </c>
      <c r="G217" s="14" t="n">
        <v>19.8</v>
      </c>
      <c r="H217" s="15" t="n">
        <f aca="false">IF(OR(G217="",F217=0),"",(F217-G217)/F217)</f>
        <v>0.45</v>
      </c>
      <c r="I217" s="11" t="str">
        <f aca="false">IF(G217="","UKENDT",IF(OR(E217=0,H217&lt;0),"KRITISK",IF(H217&lt;0.2,"HØJ",IF(H217&lt;0.35,"MIDDEL","OK"))))</f>
        <v>OK</v>
      </c>
      <c r="J217" s="12" t="n">
        <f aca="false">IF(G217="","",MAX(E217,CEILING(G217/(1-Forudsætninger!$B$4)*(1+Forudsætninger!$B$3),IF(G217/(1-Forudsætninger!$B$4)*(1+Forudsætninger!$B$3)&lt;50,1,IF(G217/(1-Forudsætninger!$B$4)*(1+Forudsætninger!$B$3)&lt;200,5,10)))))</f>
        <v>45</v>
      </c>
      <c r="K217" s="15" t="n">
        <f aca="false">IF(OR(J217="",E217=0),"",J217/E217-1)</f>
        <v>0</v>
      </c>
      <c r="L217" s="15" t="n">
        <f aca="false">IF(J217="","",(J217/(1+Forudsætninger!$B$3)-G217)/(J217/(1+Forudsætninger!$B$3)))</f>
        <v>0.45</v>
      </c>
      <c r="M217" s="11" t="s">
        <v>629</v>
      </c>
      <c r="N217" s="11" t="s">
        <v>625</v>
      </c>
    </row>
    <row r="218" customFormat="false" ht="15" hidden="false" customHeight="false" outlineLevel="0" collapsed="false">
      <c r="A218" s="11" t="s">
        <v>30</v>
      </c>
      <c r="B218" s="11" t="s">
        <v>592</v>
      </c>
      <c r="C218" s="11" t="s">
        <v>132</v>
      </c>
      <c r="D218" s="11" t="s">
        <v>630</v>
      </c>
      <c r="E218" s="12" t="n">
        <v>45</v>
      </c>
      <c r="F218" s="13" t="n">
        <f aca="false">E218/(1+Forudsætninger!$B$3)</f>
        <v>36</v>
      </c>
      <c r="G218" s="14" t="n">
        <v>19.8</v>
      </c>
      <c r="H218" s="15" t="n">
        <f aca="false">IF(OR(G218="",F218=0),"",(F218-G218)/F218)</f>
        <v>0.45</v>
      </c>
      <c r="I218" s="11" t="str">
        <f aca="false">IF(G218="","UKENDT",IF(OR(E218=0,H218&lt;0),"KRITISK",IF(H218&lt;0.2,"HØJ",IF(H218&lt;0.35,"MIDDEL","OK"))))</f>
        <v>OK</v>
      </c>
      <c r="J218" s="12" t="n">
        <f aca="false">IF(G218="","",MAX(E218,CEILING(G218/(1-Forudsætninger!$B$4)*(1+Forudsætninger!$B$3),IF(G218/(1-Forudsætninger!$B$4)*(1+Forudsætninger!$B$3)&lt;50,1,IF(G218/(1-Forudsætninger!$B$4)*(1+Forudsætninger!$B$3)&lt;200,5,10)))))</f>
        <v>45</v>
      </c>
      <c r="K218" s="15" t="n">
        <f aca="false">IF(OR(J218="",E218=0),"",J218/E218-1)</f>
        <v>0</v>
      </c>
      <c r="L218" s="15" t="n">
        <f aca="false">IF(J218="","",(J218/(1+Forudsætninger!$B$3)-G218)/(J218/(1+Forudsætninger!$B$3)))</f>
        <v>0.45</v>
      </c>
      <c r="M218" s="11" t="s">
        <v>631</v>
      </c>
      <c r="N218" s="11" t="s">
        <v>625</v>
      </c>
    </row>
    <row r="219" customFormat="false" ht="15" hidden="false" customHeight="false" outlineLevel="0" collapsed="false">
      <c r="A219" s="11" t="s">
        <v>30</v>
      </c>
      <c r="B219" s="11" t="s">
        <v>592</v>
      </c>
      <c r="C219" s="11" t="s">
        <v>135</v>
      </c>
      <c r="D219" s="11" t="s">
        <v>632</v>
      </c>
      <c r="E219" s="12" t="n">
        <v>45</v>
      </c>
      <c r="F219" s="13" t="n">
        <f aca="false">E219/(1+Forudsætninger!$B$3)</f>
        <v>36</v>
      </c>
      <c r="G219" s="14" t="n">
        <v>19.8</v>
      </c>
      <c r="H219" s="15" t="n">
        <f aca="false">IF(OR(G219="",F219=0),"",(F219-G219)/F219)</f>
        <v>0.45</v>
      </c>
      <c r="I219" s="11" t="str">
        <f aca="false">IF(G219="","UKENDT",IF(OR(E219=0,H219&lt;0),"KRITISK",IF(H219&lt;0.2,"HØJ",IF(H219&lt;0.35,"MIDDEL","OK"))))</f>
        <v>OK</v>
      </c>
      <c r="J219" s="12" t="n">
        <f aca="false">IF(G219="","",MAX(E219,CEILING(G219/(1-Forudsætninger!$B$4)*(1+Forudsætninger!$B$3),IF(G219/(1-Forudsætninger!$B$4)*(1+Forudsætninger!$B$3)&lt;50,1,IF(G219/(1-Forudsætninger!$B$4)*(1+Forudsætninger!$B$3)&lt;200,5,10)))))</f>
        <v>45</v>
      </c>
      <c r="K219" s="15" t="n">
        <f aca="false">IF(OR(J219="",E219=0),"",J219/E219-1)</f>
        <v>0</v>
      </c>
      <c r="L219" s="15" t="n">
        <f aca="false">IF(J219="","",(J219/(1+Forudsætninger!$B$3)-G219)/(J219/(1+Forudsætninger!$B$3)))</f>
        <v>0.45</v>
      </c>
      <c r="M219" s="11" t="s">
        <v>633</v>
      </c>
      <c r="N219" s="11" t="s">
        <v>625</v>
      </c>
    </row>
    <row r="220" customFormat="false" ht="15" hidden="false" customHeight="false" outlineLevel="0" collapsed="false">
      <c r="A220" s="11" t="s">
        <v>30</v>
      </c>
      <c r="B220" s="11" t="s">
        <v>592</v>
      </c>
      <c r="C220" s="11" t="s">
        <v>138</v>
      </c>
      <c r="D220" s="11" t="s">
        <v>634</v>
      </c>
      <c r="E220" s="12" t="n">
        <v>45</v>
      </c>
      <c r="F220" s="13" t="n">
        <f aca="false">E220/(1+Forudsætninger!$B$3)</f>
        <v>36</v>
      </c>
      <c r="G220" s="14" t="n">
        <v>19.8</v>
      </c>
      <c r="H220" s="15" t="n">
        <f aca="false">IF(OR(G220="",F220=0),"",(F220-G220)/F220)</f>
        <v>0.45</v>
      </c>
      <c r="I220" s="11" t="str">
        <f aca="false">IF(G220="","UKENDT",IF(OR(E220=0,H220&lt;0),"KRITISK",IF(H220&lt;0.2,"HØJ",IF(H220&lt;0.35,"MIDDEL","OK"))))</f>
        <v>OK</v>
      </c>
      <c r="J220" s="12" t="n">
        <f aca="false">IF(G220="","",MAX(E220,CEILING(G220/(1-Forudsætninger!$B$4)*(1+Forudsætninger!$B$3),IF(G220/(1-Forudsætninger!$B$4)*(1+Forudsætninger!$B$3)&lt;50,1,IF(G220/(1-Forudsætninger!$B$4)*(1+Forudsætninger!$B$3)&lt;200,5,10)))))</f>
        <v>45</v>
      </c>
      <c r="K220" s="15" t="n">
        <f aca="false">IF(OR(J220="",E220=0),"",J220/E220-1)</f>
        <v>0</v>
      </c>
      <c r="L220" s="15" t="n">
        <f aca="false">IF(J220="","",(J220/(1+Forudsætninger!$B$3)-G220)/(J220/(1+Forudsætninger!$B$3)))</f>
        <v>0.45</v>
      </c>
      <c r="M220" s="11" t="s">
        <v>635</v>
      </c>
      <c r="N220" s="11" t="s">
        <v>625</v>
      </c>
    </row>
    <row r="221" customFormat="false" ht="15" hidden="false" customHeight="false" outlineLevel="0" collapsed="false">
      <c r="A221" s="11" t="s">
        <v>30</v>
      </c>
      <c r="B221" s="11" t="s">
        <v>592</v>
      </c>
      <c r="C221" s="11" t="s">
        <v>141</v>
      </c>
      <c r="D221" s="11" t="s">
        <v>636</v>
      </c>
      <c r="E221" s="12" t="n">
        <v>45</v>
      </c>
      <c r="F221" s="13" t="n">
        <f aca="false">E221/(1+Forudsætninger!$B$3)</f>
        <v>36</v>
      </c>
      <c r="G221" s="14" t="n">
        <v>19.8</v>
      </c>
      <c r="H221" s="15" t="n">
        <f aca="false">IF(OR(G221="",F221=0),"",(F221-G221)/F221)</f>
        <v>0.45</v>
      </c>
      <c r="I221" s="11" t="str">
        <f aca="false">IF(G221="","UKENDT",IF(OR(E221=0,H221&lt;0),"KRITISK",IF(H221&lt;0.2,"HØJ",IF(H221&lt;0.35,"MIDDEL","OK"))))</f>
        <v>OK</v>
      </c>
      <c r="J221" s="12" t="n">
        <f aca="false">IF(G221="","",MAX(E221,CEILING(G221/(1-Forudsætninger!$B$4)*(1+Forudsætninger!$B$3),IF(G221/(1-Forudsætninger!$B$4)*(1+Forudsætninger!$B$3)&lt;50,1,IF(G221/(1-Forudsætninger!$B$4)*(1+Forudsætninger!$B$3)&lt;200,5,10)))))</f>
        <v>45</v>
      </c>
      <c r="K221" s="15" t="n">
        <f aca="false">IF(OR(J221="",E221=0),"",J221/E221-1)</f>
        <v>0</v>
      </c>
      <c r="L221" s="15" t="n">
        <f aca="false">IF(J221="","",(J221/(1+Forudsætninger!$B$3)-G221)/(J221/(1+Forudsætninger!$B$3)))</f>
        <v>0.45</v>
      </c>
      <c r="M221" s="11" t="s">
        <v>637</v>
      </c>
      <c r="N221" s="11" t="s">
        <v>625</v>
      </c>
    </row>
    <row r="222" customFormat="false" ht="15" hidden="false" customHeight="false" outlineLevel="0" collapsed="false">
      <c r="A222" s="11" t="s">
        <v>24</v>
      </c>
      <c r="B222" s="11" t="s">
        <v>144</v>
      </c>
      <c r="C222" s="11" t="s">
        <v>78</v>
      </c>
      <c r="D222" s="11" t="s">
        <v>638</v>
      </c>
      <c r="E222" s="12" t="n">
        <v>105</v>
      </c>
      <c r="F222" s="13" t="n">
        <f aca="false">E222/(1+Forudsætninger!$B$3)</f>
        <v>84</v>
      </c>
      <c r="G222" s="14" t="n">
        <v>46.2</v>
      </c>
      <c r="H222" s="15" t="n">
        <f aca="false">IF(OR(G222="",F222=0),"",(F222-G222)/F222)</f>
        <v>0.45</v>
      </c>
      <c r="I222" s="11" t="str">
        <f aca="false">IF(G222="","UKENDT",IF(OR(E222=0,H222&lt;0),"KRITISK",IF(H222&lt;0.2,"HØJ",IF(H222&lt;0.35,"MIDDEL","OK"))))</f>
        <v>OK</v>
      </c>
      <c r="J222" s="12" t="n">
        <f aca="false">IF(G222="","",MAX(E222,CEILING(G222/(1-Forudsætninger!$B$4)*(1+Forudsætninger!$B$3),IF(G222/(1-Forudsætninger!$B$4)*(1+Forudsætninger!$B$3)&lt;50,1,IF(G222/(1-Forudsætninger!$B$4)*(1+Forudsætninger!$B$3)&lt;200,5,10)))))</f>
        <v>105</v>
      </c>
      <c r="K222" s="15" t="n">
        <f aca="false">IF(OR(J222="",E222=0),"",J222/E222-1)</f>
        <v>0</v>
      </c>
      <c r="L222" s="15" t="n">
        <f aca="false">IF(J222="","",(J222/(1+Forudsætninger!$B$3)-G222)/(J222/(1+Forudsætninger!$B$3)))</f>
        <v>0.45</v>
      </c>
      <c r="M222" s="11" t="s">
        <v>639</v>
      </c>
      <c r="N222" s="11" t="s">
        <v>640</v>
      </c>
    </row>
    <row r="223" customFormat="false" ht="15" hidden="false" customHeight="false" outlineLevel="0" collapsed="false">
      <c r="A223" s="11" t="s">
        <v>26</v>
      </c>
      <c r="B223" s="11" t="s">
        <v>641</v>
      </c>
      <c r="C223" s="11" t="s">
        <v>89</v>
      </c>
      <c r="D223" s="11" t="s">
        <v>642</v>
      </c>
      <c r="E223" s="12" t="n">
        <v>140</v>
      </c>
      <c r="F223" s="13" t="n">
        <f aca="false">E223/(1+Forudsætninger!$B$3)</f>
        <v>112</v>
      </c>
      <c r="G223" s="14" t="n">
        <v>61.6</v>
      </c>
      <c r="H223" s="15" t="n">
        <f aca="false">IF(OR(G223="",F223=0),"",(F223-G223)/F223)</f>
        <v>0.45</v>
      </c>
      <c r="I223" s="11" t="str">
        <f aca="false">IF(G223="","UKENDT",IF(OR(E223=0,H223&lt;0),"KRITISK",IF(H223&lt;0.2,"HØJ",IF(H223&lt;0.35,"MIDDEL","OK"))))</f>
        <v>OK</v>
      </c>
      <c r="J223" s="12" t="n">
        <f aca="false">IF(G223="","",MAX(E223,CEILING(G223/(1-Forudsætninger!$B$4)*(1+Forudsætninger!$B$3),IF(G223/(1-Forudsætninger!$B$4)*(1+Forudsætninger!$B$3)&lt;50,1,IF(G223/(1-Forudsætninger!$B$4)*(1+Forudsætninger!$B$3)&lt;200,5,10)))))</f>
        <v>140</v>
      </c>
      <c r="K223" s="15" t="n">
        <f aca="false">IF(OR(J223="",E223=0),"",J223/E223-1)</f>
        <v>0</v>
      </c>
      <c r="L223" s="15" t="n">
        <f aca="false">IF(J223="","",(J223/(1+Forudsætninger!$B$3)-G223)/(J223/(1+Forudsætninger!$B$3)))</f>
        <v>0.45</v>
      </c>
      <c r="M223" s="11" t="s">
        <v>643</v>
      </c>
      <c r="N223" s="11" t="s">
        <v>644</v>
      </c>
    </row>
    <row r="224" customFormat="false" ht="15" hidden="false" customHeight="false" outlineLevel="0" collapsed="false">
      <c r="A224" s="11" t="s">
        <v>22</v>
      </c>
      <c r="B224" s="11" t="s">
        <v>645</v>
      </c>
      <c r="C224" s="11" t="s">
        <v>96</v>
      </c>
      <c r="D224" s="11" t="s">
        <v>646</v>
      </c>
      <c r="E224" s="12" t="n">
        <v>2650</v>
      </c>
      <c r="F224" s="13" t="n">
        <f aca="false">E224/(1+Forudsætninger!$B$3)</f>
        <v>2120</v>
      </c>
      <c r="G224" s="14" t="n">
        <v>1166</v>
      </c>
      <c r="H224" s="15" t="n">
        <f aca="false">IF(OR(G224="",F224=0),"",(F224-G224)/F224)</f>
        <v>0.45</v>
      </c>
      <c r="I224" s="11" t="str">
        <f aca="false">IF(G224="","UKENDT",IF(OR(E224=0,H224&lt;0),"KRITISK",IF(H224&lt;0.2,"HØJ",IF(H224&lt;0.35,"MIDDEL","OK"))))</f>
        <v>OK</v>
      </c>
      <c r="J224" s="12" t="n">
        <f aca="false">IF(G224="","",MAX(E224,CEILING(G224/(1-Forudsætninger!$B$4)*(1+Forudsætninger!$B$3),IF(G224/(1-Forudsætninger!$B$4)*(1+Forudsætninger!$B$3)&lt;50,1,IF(G224/(1-Forudsætninger!$B$4)*(1+Forudsætninger!$B$3)&lt;200,5,10)))))</f>
        <v>2650</v>
      </c>
      <c r="K224" s="15" t="n">
        <f aca="false">IF(OR(J224="",E224=0),"",J224/E224-1)</f>
        <v>0</v>
      </c>
      <c r="L224" s="15" t="n">
        <f aca="false">IF(J224="","",(J224/(1+Forudsætninger!$B$3)-G224)/(J224/(1+Forudsætninger!$B$3)))</f>
        <v>0.45</v>
      </c>
      <c r="M224" s="11" t="s">
        <v>647</v>
      </c>
      <c r="N224" s="11" t="s">
        <v>648</v>
      </c>
    </row>
    <row r="225" customFormat="false" ht="15" hidden="false" customHeight="false" outlineLevel="0" collapsed="false">
      <c r="A225" s="11" t="s">
        <v>33</v>
      </c>
      <c r="B225" s="11" t="s">
        <v>649</v>
      </c>
      <c r="C225" s="11" t="s">
        <v>650</v>
      </c>
      <c r="D225" s="11" t="s">
        <v>651</v>
      </c>
      <c r="E225" s="12" t="n">
        <v>115</v>
      </c>
      <c r="F225" s="13" t="n">
        <f aca="false">E225/(1+Forudsætninger!$B$3)</f>
        <v>92</v>
      </c>
      <c r="G225" s="14" t="n">
        <v>50.49</v>
      </c>
      <c r="H225" s="15" t="n">
        <f aca="false">IF(OR(G225="",F225=0),"",(F225-G225)/F225)</f>
        <v>0.451195652173913</v>
      </c>
      <c r="I225" s="11" t="str">
        <f aca="false">IF(G225="","UKENDT",IF(OR(E225=0,H225&lt;0),"KRITISK",IF(H225&lt;0.2,"HØJ",IF(H225&lt;0.35,"MIDDEL","OK"))))</f>
        <v>OK</v>
      </c>
      <c r="J225" s="12" t="n">
        <f aca="false">IF(G225="","",MAX(E225,CEILING(G225/(1-Forudsætninger!$B$4)*(1+Forudsætninger!$B$3),IF(G225/(1-Forudsætninger!$B$4)*(1+Forudsætninger!$B$3)&lt;50,1,IF(G225/(1-Forudsætninger!$B$4)*(1+Forudsætninger!$B$3)&lt;200,5,10)))))</f>
        <v>115</v>
      </c>
      <c r="K225" s="15" t="n">
        <f aca="false">IF(OR(J225="",E225=0),"",J225/E225-1)</f>
        <v>0</v>
      </c>
      <c r="L225" s="15" t="n">
        <f aca="false">IF(J225="","",(J225/(1+Forudsætninger!$B$3)-G225)/(J225/(1+Forudsætninger!$B$3)))</f>
        <v>0.451195652173913</v>
      </c>
      <c r="M225" s="11" t="s">
        <v>652</v>
      </c>
      <c r="N225" s="11" t="s">
        <v>653</v>
      </c>
    </row>
    <row r="226" customFormat="false" ht="15" hidden="false" customHeight="false" outlineLevel="0" collapsed="false">
      <c r="A226" s="11" t="s">
        <v>30</v>
      </c>
      <c r="B226" s="11" t="s">
        <v>654</v>
      </c>
      <c r="C226" s="11" t="s">
        <v>655</v>
      </c>
      <c r="D226" s="11" t="s">
        <v>656</v>
      </c>
      <c r="E226" s="12" t="n">
        <v>200</v>
      </c>
      <c r="F226" s="13" t="n">
        <f aca="false">E226/(1+Forudsætninger!$B$3)</f>
        <v>160</v>
      </c>
      <c r="G226" s="14" t="n">
        <v>87.78</v>
      </c>
      <c r="H226" s="15" t="n">
        <f aca="false">IF(OR(G226="",F226=0),"",(F226-G226)/F226)</f>
        <v>0.451375</v>
      </c>
      <c r="I226" s="11" t="str">
        <f aca="false">IF(G226="","UKENDT",IF(OR(E226=0,H226&lt;0),"KRITISK",IF(H226&lt;0.2,"HØJ",IF(H226&lt;0.35,"MIDDEL","OK"))))</f>
        <v>OK</v>
      </c>
      <c r="J226" s="12" t="n">
        <f aca="false">IF(G226="","",MAX(E226,CEILING(G226/(1-Forudsætninger!$B$4)*(1+Forudsætninger!$B$3),IF(G226/(1-Forudsætninger!$B$4)*(1+Forudsætninger!$B$3)&lt;50,1,IF(G226/(1-Forudsætninger!$B$4)*(1+Forudsætninger!$B$3)&lt;200,5,10)))))</f>
        <v>200</v>
      </c>
      <c r="K226" s="15" t="n">
        <f aca="false">IF(OR(J226="",E226=0),"",J226/E226-1)</f>
        <v>0</v>
      </c>
      <c r="L226" s="15" t="n">
        <f aca="false">IF(J226="","",(J226/(1+Forudsætninger!$B$3)-G226)/(J226/(1+Forudsætninger!$B$3)))</f>
        <v>0.451375</v>
      </c>
      <c r="M226" s="11" t="s">
        <v>657</v>
      </c>
      <c r="N226" s="11" t="s">
        <v>658</v>
      </c>
    </row>
    <row r="227" customFormat="false" ht="15" hidden="false" customHeight="false" outlineLevel="0" collapsed="false">
      <c r="A227" s="11" t="s">
        <v>30</v>
      </c>
      <c r="B227" s="11" t="s">
        <v>654</v>
      </c>
      <c r="C227" s="11" t="s">
        <v>659</v>
      </c>
      <c r="D227" s="11" t="s">
        <v>660</v>
      </c>
      <c r="E227" s="12" t="n">
        <v>200</v>
      </c>
      <c r="F227" s="13" t="n">
        <f aca="false">E227/(1+Forudsætninger!$B$3)</f>
        <v>160</v>
      </c>
      <c r="G227" s="14" t="n">
        <v>87.78</v>
      </c>
      <c r="H227" s="15" t="n">
        <f aca="false">IF(OR(G227="",F227=0),"",(F227-G227)/F227)</f>
        <v>0.451375</v>
      </c>
      <c r="I227" s="11" t="str">
        <f aca="false">IF(G227="","UKENDT",IF(OR(E227=0,H227&lt;0),"KRITISK",IF(H227&lt;0.2,"HØJ",IF(H227&lt;0.35,"MIDDEL","OK"))))</f>
        <v>OK</v>
      </c>
      <c r="J227" s="12" t="n">
        <f aca="false">IF(G227="","",MAX(E227,CEILING(G227/(1-Forudsætninger!$B$4)*(1+Forudsætninger!$B$3),IF(G227/(1-Forudsætninger!$B$4)*(1+Forudsætninger!$B$3)&lt;50,1,IF(G227/(1-Forudsætninger!$B$4)*(1+Forudsætninger!$B$3)&lt;200,5,10)))))</f>
        <v>200</v>
      </c>
      <c r="K227" s="15" t="n">
        <f aca="false">IF(OR(J227="",E227=0),"",J227/E227-1)</f>
        <v>0</v>
      </c>
      <c r="L227" s="15" t="n">
        <f aca="false">IF(J227="","",(J227/(1+Forudsætninger!$B$3)-G227)/(J227/(1+Forudsætninger!$B$3)))</f>
        <v>0.451375</v>
      </c>
      <c r="M227" s="11" t="s">
        <v>661</v>
      </c>
      <c r="N227" s="11" t="s">
        <v>658</v>
      </c>
    </row>
    <row r="228" customFormat="false" ht="15" hidden="false" customHeight="false" outlineLevel="0" collapsed="false">
      <c r="A228" s="11" t="s">
        <v>30</v>
      </c>
      <c r="B228" s="11" t="s">
        <v>654</v>
      </c>
      <c r="C228" s="11" t="s">
        <v>662</v>
      </c>
      <c r="D228" s="11" t="s">
        <v>663</v>
      </c>
      <c r="E228" s="12" t="n">
        <v>200</v>
      </c>
      <c r="F228" s="13" t="n">
        <f aca="false">E228/(1+Forudsætninger!$B$3)</f>
        <v>160</v>
      </c>
      <c r="G228" s="14" t="n">
        <v>87.78</v>
      </c>
      <c r="H228" s="15" t="n">
        <f aca="false">IF(OR(G228="",F228=0),"",(F228-G228)/F228)</f>
        <v>0.451375</v>
      </c>
      <c r="I228" s="11" t="str">
        <f aca="false">IF(G228="","UKENDT",IF(OR(E228=0,H228&lt;0),"KRITISK",IF(H228&lt;0.2,"HØJ",IF(H228&lt;0.35,"MIDDEL","OK"))))</f>
        <v>OK</v>
      </c>
      <c r="J228" s="12" t="n">
        <f aca="false">IF(G228="","",MAX(E228,CEILING(G228/(1-Forudsætninger!$B$4)*(1+Forudsætninger!$B$3),IF(G228/(1-Forudsætninger!$B$4)*(1+Forudsætninger!$B$3)&lt;50,1,IF(G228/(1-Forudsætninger!$B$4)*(1+Forudsætninger!$B$3)&lt;200,5,10)))))</f>
        <v>200</v>
      </c>
      <c r="K228" s="15" t="n">
        <f aca="false">IF(OR(J228="",E228=0),"",J228/E228-1)</f>
        <v>0</v>
      </c>
      <c r="L228" s="15" t="n">
        <f aca="false">IF(J228="","",(J228/(1+Forudsætninger!$B$3)-G228)/(J228/(1+Forudsætninger!$B$3)))</f>
        <v>0.451375</v>
      </c>
      <c r="M228" s="11" t="s">
        <v>664</v>
      </c>
      <c r="N228" s="11" t="s">
        <v>658</v>
      </c>
    </row>
    <row r="229" customFormat="false" ht="15" hidden="false" customHeight="false" outlineLevel="0" collapsed="false">
      <c r="A229" s="11" t="s">
        <v>30</v>
      </c>
      <c r="B229" s="11" t="s">
        <v>654</v>
      </c>
      <c r="C229" s="11" t="s">
        <v>665</v>
      </c>
      <c r="D229" s="11" t="s">
        <v>666</v>
      </c>
      <c r="E229" s="12" t="n">
        <v>200</v>
      </c>
      <c r="F229" s="13" t="n">
        <f aca="false">E229/(1+Forudsætninger!$B$3)</f>
        <v>160</v>
      </c>
      <c r="G229" s="14" t="n">
        <v>87.78</v>
      </c>
      <c r="H229" s="15" t="n">
        <f aca="false">IF(OR(G229="",F229=0),"",(F229-G229)/F229)</f>
        <v>0.451375</v>
      </c>
      <c r="I229" s="11" t="str">
        <f aca="false">IF(G229="","UKENDT",IF(OR(E229=0,H229&lt;0),"KRITISK",IF(H229&lt;0.2,"HØJ",IF(H229&lt;0.35,"MIDDEL","OK"))))</f>
        <v>OK</v>
      </c>
      <c r="J229" s="12" t="n">
        <f aca="false">IF(G229="","",MAX(E229,CEILING(G229/(1-Forudsætninger!$B$4)*(1+Forudsætninger!$B$3),IF(G229/(1-Forudsætninger!$B$4)*(1+Forudsætninger!$B$3)&lt;50,1,IF(G229/(1-Forudsætninger!$B$4)*(1+Forudsætninger!$B$3)&lt;200,5,10)))))</f>
        <v>200</v>
      </c>
      <c r="K229" s="15" t="n">
        <f aca="false">IF(OR(J229="",E229=0),"",J229/E229-1)</f>
        <v>0</v>
      </c>
      <c r="L229" s="15" t="n">
        <f aca="false">IF(J229="","",(J229/(1+Forudsætninger!$B$3)-G229)/(J229/(1+Forudsætninger!$B$3)))</f>
        <v>0.451375</v>
      </c>
      <c r="M229" s="11" t="s">
        <v>667</v>
      </c>
      <c r="N229" s="11" t="s">
        <v>658</v>
      </c>
    </row>
    <row r="230" customFormat="false" ht="15" hidden="false" customHeight="false" outlineLevel="0" collapsed="false">
      <c r="A230" s="11" t="s">
        <v>30</v>
      </c>
      <c r="B230" s="11" t="s">
        <v>654</v>
      </c>
      <c r="C230" s="11" t="s">
        <v>668</v>
      </c>
      <c r="D230" s="11" t="s">
        <v>669</v>
      </c>
      <c r="E230" s="12" t="n">
        <v>200</v>
      </c>
      <c r="F230" s="13" t="n">
        <f aca="false">E230/(1+Forudsætninger!$B$3)</f>
        <v>160</v>
      </c>
      <c r="G230" s="14" t="n">
        <v>87.78</v>
      </c>
      <c r="H230" s="15" t="n">
        <f aca="false">IF(OR(G230="",F230=0),"",(F230-G230)/F230)</f>
        <v>0.451375</v>
      </c>
      <c r="I230" s="11" t="str">
        <f aca="false">IF(G230="","UKENDT",IF(OR(E230=0,H230&lt;0),"KRITISK",IF(H230&lt;0.2,"HØJ",IF(H230&lt;0.35,"MIDDEL","OK"))))</f>
        <v>OK</v>
      </c>
      <c r="J230" s="12" t="n">
        <f aca="false">IF(G230="","",MAX(E230,CEILING(G230/(1-Forudsætninger!$B$4)*(1+Forudsætninger!$B$3),IF(G230/(1-Forudsætninger!$B$4)*(1+Forudsætninger!$B$3)&lt;50,1,IF(G230/(1-Forudsætninger!$B$4)*(1+Forudsætninger!$B$3)&lt;200,5,10)))))</f>
        <v>200</v>
      </c>
      <c r="K230" s="15" t="n">
        <f aca="false">IF(OR(J230="",E230=0),"",J230/E230-1)</f>
        <v>0</v>
      </c>
      <c r="L230" s="15" t="n">
        <f aca="false">IF(J230="","",(J230/(1+Forudsætninger!$B$3)-G230)/(J230/(1+Forudsætninger!$B$3)))</f>
        <v>0.451375</v>
      </c>
      <c r="M230" s="11" t="s">
        <v>670</v>
      </c>
      <c r="N230" s="11" t="s">
        <v>658</v>
      </c>
    </row>
    <row r="231" customFormat="false" ht="15" hidden="false" customHeight="false" outlineLevel="0" collapsed="false">
      <c r="A231" s="11" t="s">
        <v>30</v>
      </c>
      <c r="B231" s="11" t="s">
        <v>654</v>
      </c>
      <c r="C231" s="11" t="s">
        <v>120</v>
      </c>
      <c r="D231" s="11" t="s">
        <v>671</v>
      </c>
      <c r="E231" s="12" t="n">
        <v>200</v>
      </c>
      <c r="F231" s="13" t="n">
        <f aca="false">E231/(1+Forudsætninger!$B$3)</f>
        <v>160</v>
      </c>
      <c r="G231" s="14" t="n">
        <v>87.78</v>
      </c>
      <c r="H231" s="15" t="n">
        <f aca="false">IF(OR(G231="",F231=0),"",(F231-G231)/F231)</f>
        <v>0.451375</v>
      </c>
      <c r="I231" s="11" t="str">
        <f aca="false">IF(G231="","UKENDT",IF(OR(E231=0,H231&lt;0),"KRITISK",IF(H231&lt;0.2,"HØJ",IF(H231&lt;0.35,"MIDDEL","OK"))))</f>
        <v>OK</v>
      </c>
      <c r="J231" s="12" t="n">
        <f aca="false">IF(G231="","",MAX(E231,CEILING(G231/(1-Forudsætninger!$B$4)*(1+Forudsætninger!$B$3),IF(G231/(1-Forudsætninger!$B$4)*(1+Forudsætninger!$B$3)&lt;50,1,IF(G231/(1-Forudsætninger!$B$4)*(1+Forudsætninger!$B$3)&lt;200,5,10)))))</f>
        <v>200</v>
      </c>
      <c r="K231" s="15" t="n">
        <f aca="false">IF(OR(J231="",E231=0),"",J231/E231-1)</f>
        <v>0</v>
      </c>
      <c r="L231" s="15" t="n">
        <f aca="false">IF(J231="","",(J231/(1+Forudsætninger!$B$3)-G231)/(J231/(1+Forudsætninger!$B$3)))</f>
        <v>0.451375</v>
      </c>
      <c r="M231" s="11" t="s">
        <v>672</v>
      </c>
      <c r="N231" s="11" t="s">
        <v>658</v>
      </c>
    </row>
    <row r="232" customFormat="false" ht="15" hidden="false" customHeight="false" outlineLevel="0" collapsed="false">
      <c r="A232" s="11" t="s">
        <v>30</v>
      </c>
      <c r="B232" s="11" t="s">
        <v>654</v>
      </c>
      <c r="C232" s="11" t="s">
        <v>123</v>
      </c>
      <c r="D232" s="11" t="s">
        <v>673</v>
      </c>
      <c r="E232" s="12" t="n">
        <v>200</v>
      </c>
      <c r="F232" s="13" t="n">
        <f aca="false">E232/(1+Forudsætninger!$B$3)</f>
        <v>160</v>
      </c>
      <c r="G232" s="14" t="n">
        <v>87.78</v>
      </c>
      <c r="H232" s="15" t="n">
        <f aca="false">IF(OR(G232="",F232=0),"",(F232-G232)/F232)</f>
        <v>0.451375</v>
      </c>
      <c r="I232" s="11" t="str">
        <f aca="false">IF(G232="","UKENDT",IF(OR(E232=0,H232&lt;0),"KRITISK",IF(H232&lt;0.2,"HØJ",IF(H232&lt;0.35,"MIDDEL","OK"))))</f>
        <v>OK</v>
      </c>
      <c r="J232" s="12" t="n">
        <f aca="false">IF(G232="","",MAX(E232,CEILING(G232/(1-Forudsætninger!$B$4)*(1+Forudsætninger!$B$3),IF(G232/(1-Forudsætninger!$B$4)*(1+Forudsætninger!$B$3)&lt;50,1,IF(G232/(1-Forudsætninger!$B$4)*(1+Forudsætninger!$B$3)&lt;200,5,10)))))</f>
        <v>200</v>
      </c>
      <c r="K232" s="15" t="n">
        <f aca="false">IF(OR(J232="",E232=0),"",J232/E232-1)</f>
        <v>0</v>
      </c>
      <c r="L232" s="15" t="n">
        <f aca="false">IF(J232="","",(J232/(1+Forudsætninger!$B$3)-G232)/(J232/(1+Forudsætninger!$B$3)))</f>
        <v>0.451375</v>
      </c>
      <c r="M232" s="11" t="s">
        <v>674</v>
      </c>
      <c r="N232" s="11" t="s">
        <v>658</v>
      </c>
    </row>
    <row r="233" customFormat="false" ht="15" hidden="false" customHeight="false" outlineLevel="0" collapsed="false">
      <c r="A233" s="11" t="s">
        <v>30</v>
      </c>
      <c r="B233" s="11" t="s">
        <v>654</v>
      </c>
      <c r="C233" s="11" t="s">
        <v>126</v>
      </c>
      <c r="D233" s="11" t="s">
        <v>675</v>
      </c>
      <c r="E233" s="12" t="n">
        <v>200</v>
      </c>
      <c r="F233" s="13" t="n">
        <f aca="false">E233/(1+Forudsætninger!$B$3)</f>
        <v>160</v>
      </c>
      <c r="G233" s="14" t="n">
        <v>87.78</v>
      </c>
      <c r="H233" s="15" t="n">
        <f aca="false">IF(OR(G233="",F233=0),"",(F233-G233)/F233)</f>
        <v>0.451375</v>
      </c>
      <c r="I233" s="11" t="str">
        <f aca="false">IF(G233="","UKENDT",IF(OR(E233=0,H233&lt;0),"KRITISK",IF(H233&lt;0.2,"HØJ",IF(H233&lt;0.35,"MIDDEL","OK"))))</f>
        <v>OK</v>
      </c>
      <c r="J233" s="12" t="n">
        <f aca="false">IF(G233="","",MAX(E233,CEILING(G233/(1-Forudsætninger!$B$4)*(1+Forudsætninger!$B$3),IF(G233/(1-Forudsætninger!$B$4)*(1+Forudsætninger!$B$3)&lt;50,1,IF(G233/(1-Forudsætninger!$B$4)*(1+Forudsætninger!$B$3)&lt;200,5,10)))))</f>
        <v>200</v>
      </c>
      <c r="K233" s="15" t="n">
        <f aca="false">IF(OR(J233="",E233=0),"",J233/E233-1)</f>
        <v>0</v>
      </c>
      <c r="L233" s="15" t="n">
        <f aca="false">IF(J233="","",(J233/(1+Forudsætninger!$B$3)-G233)/(J233/(1+Forudsætninger!$B$3)))</f>
        <v>0.451375</v>
      </c>
      <c r="M233" s="11" t="s">
        <v>676</v>
      </c>
      <c r="N233" s="11" t="s">
        <v>658</v>
      </c>
    </row>
    <row r="234" customFormat="false" ht="15" hidden="false" customHeight="false" outlineLevel="0" collapsed="false">
      <c r="A234" s="11" t="s">
        <v>30</v>
      </c>
      <c r="B234" s="11" t="s">
        <v>654</v>
      </c>
      <c r="C234" s="11" t="s">
        <v>129</v>
      </c>
      <c r="D234" s="11" t="s">
        <v>677</v>
      </c>
      <c r="E234" s="12" t="n">
        <v>200</v>
      </c>
      <c r="F234" s="13" t="n">
        <f aca="false">E234/(1+Forudsætninger!$B$3)</f>
        <v>160</v>
      </c>
      <c r="G234" s="14" t="n">
        <v>87.78</v>
      </c>
      <c r="H234" s="15" t="n">
        <f aca="false">IF(OR(G234="",F234=0),"",(F234-G234)/F234)</f>
        <v>0.451375</v>
      </c>
      <c r="I234" s="11" t="str">
        <f aca="false">IF(G234="","UKENDT",IF(OR(E234=0,H234&lt;0),"KRITISK",IF(H234&lt;0.2,"HØJ",IF(H234&lt;0.35,"MIDDEL","OK"))))</f>
        <v>OK</v>
      </c>
      <c r="J234" s="12" t="n">
        <f aca="false">IF(G234="","",MAX(E234,CEILING(G234/(1-Forudsætninger!$B$4)*(1+Forudsætninger!$B$3),IF(G234/(1-Forudsætninger!$B$4)*(1+Forudsætninger!$B$3)&lt;50,1,IF(G234/(1-Forudsætninger!$B$4)*(1+Forudsætninger!$B$3)&lt;200,5,10)))))</f>
        <v>200</v>
      </c>
      <c r="K234" s="15" t="n">
        <f aca="false">IF(OR(J234="",E234=0),"",J234/E234-1)</f>
        <v>0</v>
      </c>
      <c r="L234" s="15" t="n">
        <f aca="false">IF(J234="","",(J234/(1+Forudsætninger!$B$3)-G234)/(J234/(1+Forudsætninger!$B$3)))</f>
        <v>0.451375</v>
      </c>
      <c r="M234" s="11" t="s">
        <v>678</v>
      </c>
      <c r="N234" s="11" t="s">
        <v>658</v>
      </c>
    </row>
    <row r="235" customFormat="false" ht="15" hidden="false" customHeight="false" outlineLevel="0" collapsed="false">
      <c r="A235" s="11" t="s">
        <v>30</v>
      </c>
      <c r="B235" s="11" t="s">
        <v>654</v>
      </c>
      <c r="C235" s="11" t="s">
        <v>132</v>
      </c>
      <c r="D235" s="11" t="s">
        <v>679</v>
      </c>
      <c r="E235" s="12" t="n">
        <v>200</v>
      </c>
      <c r="F235" s="13" t="n">
        <f aca="false">E235/(1+Forudsætninger!$B$3)</f>
        <v>160</v>
      </c>
      <c r="G235" s="14" t="n">
        <v>87.78</v>
      </c>
      <c r="H235" s="15" t="n">
        <f aca="false">IF(OR(G235="",F235=0),"",(F235-G235)/F235)</f>
        <v>0.451375</v>
      </c>
      <c r="I235" s="11" t="str">
        <f aca="false">IF(G235="","UKENDT",IF(OR(E235=0,H235&lt;0),"KRITISK",IF(H235&lt;0.2,"HØJ",IF(H235&lt;0.35,"MIDDEL","OK"))))</f>
        <v>OK</v>
      </c>
      <c r="J235" s="12" t="n">
        <f aca="false">IF(G235="","",MAX(E235,CEILING(G235/(1-Forudsætninger!$B$4)*(1+Forudsætninger!$B$3),IF(G235/(1-Forudsætninger!$B$4)*(1+Forudsætninger!$B$3)&lt;50,1,IF(G235/(1-Forudsætninger!$B$4)*(1+Forudsætninger!$B$3)&lt;200,5,10)))))</f>
        <v>200</v>
      </c>
      <c r="K235" s="15" t="n">
        <f aca="false">IF(OR(J235="",E235=0),"",J235/E235-1)</f>
        <v>0</v>
      </c>
      <c r="L235" s="15" t="n">
        <f aca="false">IF(J235="","",(J235/(1+Forudsætninger!$B$3)-G235)/(J235/(1+Forudsætninger!$B$3)))</f>
        <v>0.451375</v>
      </c>
      <c r="M235" s="11" t="s">
        <v>680</v>
      </c>
      <c r="N235" s="11" t="s">
        <v>658</v>
      </c>
    </row>
    <row r="236" customFormat="false" ht="15" hidden="false" customHeight="false" outlineLevel="0" collapsed="false">
      <c r="A236" s="11" t="s">
        <v>30</v>
      </c>
      <c r="B236" s="11" t="s">
        <v>654</v>
      </c>
      <c r="C236" s="11" t="s">
        <v>138</v>
      </c>
      <c r="D236" s="11" t="s">
        <v>681</v>
      </c>
      <c r="E236" s="12" t="n">
        <v>200</v>
      </c>
      <c r="F236" s="13" t="n">
        <f aca="false">E236/(1+Forudsætninger!$B$3)</f>
        <v>160</v>
      </c>
      <c r="G236" s="14" t="n">
        <v>87.78</v>
      </c>
      <c r="H236" s="15" t="n">
        <f aca="false">IF(OR(G236="",F236=0),"",(F236-G236)/F236)</f>
        <v>0.451375</v>
      </c>
      <c r="I236" s="11" t="str">
        <f aca="false">IF(G236="","UKENDT",IF(OR(E236=0,H236&lt;0),"KRITISK",IF(H236&lt;0.2,"HØJ",IF(H236&lt;0.35,"MIDDEL","OK"))))</f>
        <v>OK</v>
      </c>
      <c r="J236" s="12" t="n">
        <f aca="false">IF(G236="","",MAX(E236,CEILING(G236/(1-Forudsætninger!$B$4)*(1+Forudsætninger!$B$3),IF(G236/(1-Forudsætninger!$B$4)*(1+Forudsætninger!$B$3)&lt;50,1,IF(G236/(1-Forudsætninger!$B$4)*(1+Forudsætninger!$B$3)&lt;200,5,10)))))</f>
        <v>200</v>
      </c>
      <c r="K236" s="15" t="n">
        <f aca="false">IF(OR(J236="",E236=0),"",J236/E236-1)</f>
        <v>0</v>
      </c>
      <c r="L236" s="15" t="n">
        <f aca="false">IF(J236="","",(J236/(1+Forudsætninger!$B$3)-G236)/(J236/(1+Forudsætninger!$B$3)))</f>
        <v>0.451375</v>
      </c>
      <c r="M236" s="11" t="s">
        <v>682</v>
      </c>
      <c r="N236" s="11" t="s">
        <v>658</v>
      </c>
    </row>
    <row r="237" customFormat="false" ht="15" hidden="false" customHeight="false" outlineLevel="0" collapsed="false">
      <c r="A237" s="11" t="s">
        <v>23</v>
      </c>
      <c r="B237" s="11" t="s">
        <v>57</v>
      </c>
      <c r="C237" s="11" t="s">
        <v>683</v>
      </c>
      <c r="D237" s="11" t="s">
        <v>684</v>
      </c>
      <c r="E237" s="12" t="n">
        <v>650</v>
      </c>
      <c r="F237" s="13" t="n">
        <f aca="false">E237/(1+Forudsætninger!$B$3)</f>
        <v>520</v>
      </c>
      <c r="G237" s="14" t="n">
        <v>284.9</v>
      </c>
      <c r="H237" s="15" t="n">
        <f aca="false">IF(OR(G237="",F237=0),"",(F237-G237)/F237)</f>
        <v>0.452115384615385</v>
      </c>
      <c r="I237" s="11" t="str">
        <f aca="false">IF(G237="","UKENDT",IF(OR(E237=0,H237&lt;0),"KRITISK",IF(H237&lt;0.2,"HØJ",IF(H237&lt;0.35,"MIDDEL","OK"))))</f>
        <v>OK</v>
      </c>
      <c r="J237" s="12" t="n">
        <f aca="false">IF(G237="","",MAX(E237,CEILING(G237/(1-Forudsætninger!$B$4)*(1+Forudsætninger!$B$3),IF(G237/(1-Forudsætninger!$B$4)*(1+Forudsætninger!$B$3)&lt;50,1,IF(G237/(1-Forudsætninger!$B$4)*(1+Forudsætninger!$B$3)&lt;200,5,10)))))</f>
        <v>650</v>
      </c>
      <c r="K237" s="15" t="n">
        <f aca="false">IF(OR(J237="",E237=0),"",J237/E237-1)</f>
        <v>0</v>
      </c>
      <c r="L237" s="15" t="n">
        <f aca="false">IF(J237="","",(J237/(1+Forudsætninger!$B$3)-G237)/(J237/(1+Forudsætninger!$B$3)))</f>
        <v>0.452115384615385</v>
      </c>
      <c r="M237" s="11" t="s">
        <v>685</v>
      </c>
      <c r="N237" s="11" t="s">
        <v>686</v>
      </c>
    </row>
    <row r="238" customFormat="false" ht="15" hidden="false" customHeight="false" outlineLevel="0" collapsed="false">
      <c r="A238" s="11" t="s">
        <v>27</v>
      </c>
      <c r="B238" s="11" t="s">
        <v>324</v>
      </c>
      <c r="C238" s="11" t="s">
        <v>110</v>
      </c>
      <c r="D238" s="11" t="s">
        <v>687</v>
      </c>
      <c r="E238" s="12" t="n">
        <v>140</v>
      </c>
      <c r="F238" s="13" t="n">
        <f aca="false">E238/(1+Forudsætninger!$B$3)</f>
        <v>112</v>
      </c>
      <c r="G238" s="14" t="n">
        <v>61.358</v>
      </c>
      <c r="H238" s="15" t="n">
        <f aca="false">IF(OR(G238="",F238=0),"",(F238-G238)/F238)</f>
        <v>0.452160714285714</v>
      </c>
      <c r="I238" s="11" t="str">
        <f aca="false">IF(G238="","UKENDT",IF(OR(E238=0,H238&lt;0),"KRITISK",IF(H238&lt;0.2,"HØJ",IF(H238&lt;0.35,"MIDDEL","OK"))))</f>
        <v>OK</v>
      </c>
      <c r="J238" s="12" t="n">
        <f aca="false">IF(G238="","",MAX(E238,CEILING(G238/(1-Forudsætninger!$B$4)*(1+Forudsætninger!$B$3),IF(G238/(1-Forudsætninger!$B$4)*(1+Forudsætninger!$B$3)&lt;50,1,IF(G238/(1-Forudsætninger!$B$4)*(1+Forudsætninger!$B$3)&lt;200,5,10)))))</f>
        <v>140</v>
      </c>
      <c r="K238" s="15" t="n">
        <f aca="false">IF(OR(J238="",E238=0),"",J238/E238-1)</f>
        <v>0</v>
      </c>
      <c r="L238" s="15" t="n">
        <f aca="false">IF(J238="","",(J238/(1+Forudsætninger!$B$3)-G238)/(J238/(1+Forudsætninger!$B$3)))</f>
        <v>0.452160714285714</v>
      </c>
      <c r="M238" s="11" t="s">
        <v>688</v>
      </c>
      <c r="N238" s="11" t="s">
        <v>689</v>
      </c>
    </row>
    <row r="239" customFormat="false" ht="15" hidden="false" customHeight="false" outlineLevel="0" collapsed="false">
      <c r="A239" s="11" t="s">
        <v>24</v>
      </c>
      <c r="B239" s="11" t="s">
        <v>690</v>
      </c>
      <c r="C239" s="11" t="s">
        <v>173</v>
      </c>
      <c r="D239" s="11" t="s">
        <v>691</v>
      </c>
      <c r="E239" s="12" t="n">
        <v>500</v>
      </c>
      <c r="F239" s="13" t="n">
        <f aca="false">E239/(1+Forudsætninger!$B$3)</f>
        <v>400</v>
      </c>
      <c r="G239" s="14" t="n">
        <v>218.9</v>
      </c>
      <c r="H239" s="15" t="n">
        <f aca="false">IF(OR(G239="",F239=0),"",(F239-G239)/F239)</f>
        <v>0.45275</v>
      </c>
      <c r="I239" s="11" t="str">
        <f aca="false">IF(G239="","UKENDT",IF(OR(E239=0,H239&lt;0),"KRITISK",IF(H239&lt;0.2,"HØJ",IF(H239&lt;0.35,"MIDDEL","OK"))))</f>
        <v>OK</v>
      </c>
      <c r="J239" s="12" t="n">
        <f aca="false">IF(G239="","",MAX(E239,CEILING(G239/(1-Forudsætninger!$B$4)*(1+Forudsætninger!$B$3),IF(G239/(1-Forudsætninger!$B$4)*(1+Forudsætninger!$B$3)&lt;50,1,IF(G239/(1-Forudsætninger!$B$4)*(1+Forudsætninger!$B$3)&lt;200,5,10)))))</f>
        <v>500</v>
      </c>
      <c r="K239" s="15" t="n">
        <f aca="false">IF(OR(J239="",E239=0),"",J239/E239-1)</f>
        <v>0</v>
      </c>
      <c r="L239" s="15" t="n">
        <f aca="false">IF(J239="","",(J239/(1+Forudsætninger!$B$3)-G239)/(J239/(1+Forudsætninger!$B$3)))</f>
        <v>0.45275</v>
      </c>
      <c r="M239" s="11" t="s">
        <v>692</v>
      </c>
      <c r="N239" s="11" t="s">
        <v>693</v>
      </c>
    </row>
    <row r="240" customFormat="false" ht="15" hidden="false" customHeight="false" outlineLevel="0" collapsed="false">
      <c r="A240" s="11" t="s">
        <v>32</v>
      </c>
      <c r="B240" s="11" t="s">
        <v>694</v>
      </c>
      <c r="C240" s="11" t="s">
        <v>62</v>
      </c>
      <c r="D240" s="11" t="s">
        <v>695</v>
      </c>
      <c r="E240" s="12" t="n">
        <v>450</v>
      </c>
      <c r="F240" s="13" t="n">
        <f aca="false">E240/(1+Forudsætninger!$B$3)</f>
        <v>360</v>
      </c>
      <c r="G240" s="14" t="n">
        <v>196.9</v>
      </c>
      <c r="H240" s="15" t="n">
        <f aca="false">IF(OR(G240="",F240=0),"",(F240-G240)/F240)</f>
        <v>0.453055555555556</v>
      </c>
      <c r="I240" s="11" t="str">
        <f aca="false">IF(G240="","UKENDT",IF(OR(E240=0,H240&lt;0),"KRITISK",IF(H240&lt;0.2,"HØJ",IF(H240&lt;0.35,"MIDDEL","OK"))))</f>
        <v>OK</v>
      </c>
      <c r="J240" s="12" t="n">
        <f aca="false">IF(G240="","",MAX(E240,CEILING(G240/(1-Forudsætninger!$B$4)*(1+Forudsætninger!$B$3),IF(G240/(1-Forudsætninger!$B$4)*(1+Forudsætninger!$B$3)&lt;50,1,IF(G240/(1-Forudsætninger!$B$4)*(1+Forudsætninger!$B$3)&lt;200,5,10)))))</f>
        <v>450</v>
      </c>
      <c r="K240" s="15" t="n">
        <f aca="false">IF(OR(J240="",E240=0),"",J240/E240-1)</f>
        <v>0</v>
      </c>
      <c r="L240" s="15" t="n">
        <f aca="false">IF(J240="","",(J240/(1+Forudsætninger!$B$3)-G240)/(J240/(1+Forudsætninger!$B$3)))</f>
        <v>0.453055555555556</v>
      </c>
      <c r="M240" s="11" t="s">
        <v>696</v>
      </c>
      <c r="N240" s="11" t="s">
        <v>697</v>
      </c>
    </row>
    <row r="241" customFormat="false" ht="15" hidden="false" customHeight="false" outlineLevel="0" collapsed="false">
      <c r="A241" s="11" t="s">
        <v>27</v>
      </c>
      <c r="B241" s="11" t="s">
        <v>482</v>
      </c>
      <c r="C241" s="11" t="s">
        <v>698</v>
      </c>
      <c r="D241" s="11" t="s">
        <v>699</v>
      </c>
      <c r="E241" s="12" t="n">
        <v>275</v>
      </c>
      <c r="F241" s="13" t="n">
        <f aca="false">E241/(1+Forudsætninger!$B$3)</f>
        <v>220</v>
      </c>
      <c r="G241" s="14" t="n">
        <v>120.252</v>
      </c>
      <c r="H241" s="15" t="n">
        <f aca="false">IF(OR(G241="",F241=0),"",(F241-G241)/F241)</f>
        <v>0.4534</v>
      </c>
      <c r="I241" s="11" t="str">
        <f aca="false">IF(G241="","UKENDT",IF(OR(E241=0,H241&lt;0),"KRITISK",IF(H241&lt;0.2,"HØJ",IF(H241&lt;0.35,"MIDDEL","OK"))))</f>
        <v>OK</v>
      </c>
      <c r="J241" s="12" t="n">
        <f aca="false">IF(G241="","",MAX(E241,CEILING(G241/(1-Forudsætninger!$B$4)*(1+Forudsætninger!$B$3),IF(G241/(1-Forudsætninger!$B$4)*(1+Forudsætninger!$B$3)&lt;50,1,IF(G241/(1-Forudsætninger!$B$4)*(1+Forudsætninger!$B$3)&lt;200,5,10)))))</f>
        <v>280</v>
      </c>
      <c r="K241" s="15" t="n">
        <f aca="false">IF(OR(J241="",E241=0),"",J241/E241-1)</f>
        <v>0.0181818181818181</v>
      </c>
      <c r="L241" s="15" t="n">
        <f aca="false">IF(J241="","",(J241/(1+Forudsætninger!$B$3)-G241)/(J241/(1+Forudsætninger!$B$3)))</f>
        <v>0.463160714285714</v>
      </c>
      <c r="M241" s="11" t="s">
        <v>700</v>
      </c>
      <c r="N241" s="11"/>
    </row>
    <row r="242" customFormat="false" ht="15" hidden="false" customHeight="false" outlineLevel="0" collapsed="false">
      <c r="A242" s="11" t="s">
        <v>28</v>
      </c>
      <c r="B242" s="11" t="s">
        <v>540</v>
      </c>
      <c r="C242" s="11" t="s">
        <v>701</v>
      </c>
      <c r="D242" s="11" t="s">
        <v>702</v>
      </c>
      <c r="E242" s="12" t="n">
        <v>29</v>
      </c>
      <c r="F242" s="13" t="n">
        <f aca="false">E242/(1+Forudsætninger!$B$3)</f>
        <v>23.2</v>
      </c>
      <c r="G242" s="14" t="n">
        <v>12.65</v>
      </c>
      <c r="H242" s="15" t="n">
        <f aca="false">IF(OR(G242="",F242=0),"",(F242-G242)/F242)</f>
        <v>0.454741379310345</v>
      </c>
      <c r="I242" s="11" t="str">
        <f aca="false">IF(G242="","UKENDT",IF(OR(E242=0,H242&lt;0),"KRITISK",IF(H242&lt;0.2,"HØJ",IF(H242&lt;0.35,"MIDDEL","OK"))))</f>
        <v>OK</v>
      </c>
      <c r="J242" s="12" t="n">
        <f aca="false">IF(G242="","",MAX(E242,CEILING(G242/(1-Forudsætninger!$B$4)*(1+Forudsætninger!$B$3),IF(G242/(1-Forudsætninger!$B$4)*(1+Forudsætninger!$B$3)&lt;50,1,IF(G242/(1-Forudsætninger!$B$4)*(1+Forudsætninger!$B$3)&lt;200,5,10)))))</f>
        <v>29</v>
      </c>
      <c r="K242" s="15" t="n">
        <f aca="false">IF(OR(J242="",E242=0),"",J242/E242-1)</f>
        <v>0</v>
      </c>
      <c r="L242" s="15" t="n">
        <f aca="false">IF(J242="","",(J242/(1+Forudsætninger!$B$3)-G242)/(J242/(1+Forudsætninger!$B$3)))</f>
        <v>0.454741379310345</v>
      </c>
      <c r="M242" s="11" t="s">
        <v>703</v>
      </c>
      <c r="N242" s="11"/>
    </row>
    <row r="243" customFormat="false" ht="15" hidden="false" customHeight="false" outlineLevel="0" collapsed="false">
      <c r="A243" s="11" t="s">
        <v>29</v>
      </c>
      <c r="B243" s="11" t="s">
        <v>704</v>
      </c>
      <c r="C243" s="11" t="s">
        <v>89</v>
      </c>
      <c r="D243" s="11" t="s">
        <v>705</v>
      </c>
      <c r="E243" s="12" t="n">
        <v>250</v>
      </c>
      <c r="F243" s="13" t="n">
        <f aca="false">E243/(1+Forudsætninger!$B$3)</f>
        <v>200</v>
      </c>
      <c r="G243" s="14" t="n">
        <v>108.9</v>
      </c>
      <c r="H243" s="15" t="n">
        <f aca="false">IF(OR(G243="",F243=0),"",(F243-G243)/F243)</f>
        <v>0.4555</v>
      </c>
      <c r="I243" s="11" t="str">
        <f aca="false">IF(G243="","UKENDT",IF(OR(E243=0,H243&lt;0),"KRITISK",IF(H243&lt;0.2,"HØJ",IF(H243&lt;0.35,"MIDDEL","OK"))))</f>
        <v>OK</v>
      </c>
      <c r="J243" s="12" t="n">
        <f aca="false">IF(G243="","",MAX(E243,CEILING(G243/(1-Forudsætninger!$B$4)*(1+Forudsætninger!$B$3),IF(G243/(1-Forudsætninger!$B$4)*(1+Forudsætninger!$B$3)&lt;50,1,IF(G243/(1-Forudsætninger!$B$4)*(1+Forudsætninger!$B$3)&lt;200,5,10)))))</f>
        <v>250</v>
      </c>
      <c r="K243" s="15" t="n">
        <f aca="false">IF(OR(J243="",E243=0),"",J243/E243-1)</f>
        <v>0</v>
      </c>
      <c r="L243" s="15" t="n">
        <f aca="false">IF(J243="","",(J243/(1+Forudsætninger!$B$3)-G243)/(J243/(1+Forudsætninger!$B$3)))</f>
        <v>0.4555</v>
      </c>
      <c r="M243" s="11" t="s">
        <v>706</v>
      </c>
      <c r="N243" s="11" t="s">
        <v>707</v>
      </c>
    </row>
    <row r="244" customFormat="false" ht="15" hidden="false" customHeight="false" outlineLevel="0" collapsed="false">
      <c r="A244" s="11" t="s">
        <v>24</v>
      </c>
      <c r="B244" s="11" t="s">
        <v>50</v>
      </c>
      <c r="C244" s="11" t="s">
        <v>145</v>
      </c>
      <c r="D244" s="11" t="s">
        <v>708</v>
      </c>
      <c r="E244" s="12" t="n">
        <v>35</v>
      </c>
      <c r="F244" s="13" t="n">
        <f aca="false">E244/(1+Forudsætninger!$B$3)</f>
        <v>28</v>
      </c>
      <c r="G244" s="14" t="n">
        <v>15.246</v>
      </c>
      <c r="H244" s="15" t="n">
        <f aca="false">IF(OR(G244="",F244=0),"",(F244-G244)/F244)</f>
        <v>0.4555</v>
      </c>
      <c r="I244" s="11" t="str">
        <f aca="false">IF(G244="","UKENDT",IF(OR(E244=0,H244&lt;0),"KRITISK",IF(H244&lt;0.2,"HØJ",IF(H244&lt;0.35,"MIDDEL","OK"))))</f>
        <v>OK</v>
      </c>
      <c r="J244" s="12" t="n">
        <f aca="false">IF(G244="","",MAX(E244,CEILING(G244/(1-Forudsætninger!$B$4)*(1+Forudsætninger!$B$3),IF(G244/(1-Forudsætninger!$B$4)*(1+Forudsætninger!$B$3)&lt;50,1,IF(G244/(1-Forudsætninger!$B$4)*(1+Forudsætninger!$B$3)&lt;200,5,10)))))</f>
        <v>35</v>
      </c>
      <c r="K244" s="15" t="n">
        <f aca="false">IF(OR(J244="",E244=0),"",J244/E244-1)</f>
        <v>0</v>
      </c>
      <c r="L244" s="15" t="n">
        <f aca="false">IF(J244="","",(J244/(1+Forudsætninger!$B$3)-G244)/(J244/(1+Forudsætninger!$B$3)))</f>
        <v>0.4555</v>
      </c>
      <c r="M244" s="11" t="s">
        <v>709</v>
      </c>
      <c r="N244" s="11" t="s">
        <v>710</v>
      </c>
    </row>
    <row r="245" customFormat="false" ht="15" hidden="false" customHeight="false" outlineLevel="0" collapsed="false">
      <c r="A245" s="11" t="s">
        <v>27</v>
      </c>
      <c r="B245" s="11" t="s">
        <v>711</v>
      </c>
      <c r="C245" s="11" t="s">
        <v>110</v>
      </c>
      <c r="D245" s="11" t="s">
        <v>712</v>
      </c>
      <c r="E245" s="12" t="n">
        <v>149</v>
      </c>
      <c r="F245" s="13" t="n">
        <f aca="false">E245/(1+Forudsætninger!$B$3)</f>
        <v>119.2</v>
      </c>
      <c r="G245" s="14" t="n">
        <v>64.9</v>
      </c>
      <c r="H245" s="15" t="n">
        <f aca="false">IF(OR(G245="",F245=0),"",(F245-G245)/F245)</f>
        <v>0.455536912751678</v>
      </c>
      <c r="I245" s="11" t="str">
        <f aca="false">IF(G245="","UKENDT",IF(OR(E245=0,H245&lt;0),"KRITISK",IF(H245&lt;0.2,"HØJ",IF(H245&lt;0.35,"MIDDEL","OK"))))</f>
        <v>OK</v>
      </c>
      <c r="J245" s="12" t="n">
        <f aca="false">IF(G245="","",MAX(E245,CEILING(G245/(1-Forudsætninger!$B$4)*(1+Forudsætninger!$B$3),IF(G245/(1-Forudsætninger!$B$4)*(1+Forudsætninger!$B$3)&lt;50,1,IF(G245/(1-Forudsætninger!$B$4)*(1+Forudsætninger!$B$3)&lt;200,5,10)))))</f>
        <v>150</v>
      </c>
      <c r="K245" s="15" t="n">
        <f aca="false">IF(OR(J245="",E245=0),"",J245/E245-1)</f>
        <v>0.00671140939597326</v>
      </c>
      <c r="L245" s="15" t="n">
        <f aca="false">IF(J245="","",(J245/(1+Forudsætninger!$B$3)-G245)/(J245/(1+Forudsætninger!$B$3)))</f>
        <v>0.459166666666667</v>
      </c>
      <c r="M245" s="11" t="s">
        <v>713</v>
      </c>
      <c r="N245" s="11"/>
    </row>
    <row r="246" customFormat="false" ht="15" hidden="false" customHeight="false" outlineLevel="0" collapsed="false">
      <c r="A246" s="11" t="s">
        <v>24</v>
      </c>
      <c r="B246" s="11" t="s">
        <v>456</v>
      </c>
      <c r="C246" s="11" t="s">
        <v>714</v>
      </c>
      <c r="D246" s="11" t="s">
        <v>715</v>
      </c>
      <c r="E246" s="12" t="n">
        <v>24</v>
      </c>
      <c r="F246" s="13" t="n">
        <f aca="false">E246/(1+Forudsætninger!$B$3)</f>
        <v>19.2</v>
      </c>
      <c r="G246" s="14" t="n">
        <v>10.45</v>
      </c>
      <c r="H246" s="15" t="n">
        <f aca="false">IF(OR(G246="",F246=0),"",(F246-G246)/F246)</f>
        <v>0.455729166666667</v>
      </c>
      <c r="I246" s="11" t="str">
        <f aca="false">IF(G246="","UKENDT",IF(OR(E246=0,H246&lt;0),"KRITISK",IF(H246&lt;0.2,"HØJ",IF(H246&lt;0.35,"MIDDEL","OK"))))</f>
        <v>OK</v>
      </c>
      <c r="J246" s="12" t="n">
        <f aca="false">IF(G246="","",MAX(E246,CEILING(G246/(1-Forudsætninger!$B$4)*(1+Forudsætninger!$B$3),IF(G246/(1-Forudsætninger!$B$4)*(1+Forudsætninger!$B$3)&lt;50,1,IF(G246/(1-Forudsætninger!$B$4)*(1+Forudsætninger!$B$3)&lt;200,5,10)))))</f>
        <v>24</v>
      </c>
      <c r="K246" s="15" t="n">
        <f aca="false">IF(OR(J246="",E246=0),"",J246/E246-1)</f>
        <v>0</v>
      </c>
      <c r="L246" s="15" t="n">
        <f aca="false">IF(J246="","",(J246/(1+Forudsætninger!$B$3)-G246)/(J246/(1+Forudsætninger!$B$3)))</f>
        <v>0.455729166666667</v>
      </c>
      <c r="M246" s="11" t="s">
        <v>716</v>
      </c>
      <c r="N246" s="11"/>
    </row>
    <row r="247" customFormat="false" ht="15" hidden="false" customHeight="false" outlineLevel="0" collapsed="false">
      <c r="A247" s="11" t="s">
        <v>33</v>
      </c>
      <c r="B247" s="11" t="s">
        <v>551</v>
      </c>
      <c r="C247" s="11" t="s">
        <v>717</v>
      </c>
      <c r="D247" s="11" t="s">
        <v>718</v>
      </c>
      <c r="E247" s="12" t="n">
        <v>230</v>
      </c>
      <c r="F247" s="13" t="n">
        <f aca="false">E247/(1+Forudsætninger!$B$3)</f>
        <v>184</v>
      </c>
      <c r="G247" s="14" t="n">
        <v>100.1</v>
      </c>
      <c r="H247" s="15" t="n">
        <f aca="false">IF(OR(G247="",F247=0),"",(F247-G247)/F247)</f>
        <v>0.455978260869565</v>
      </c>
      <c r="I247" s="11" t="str">
        <f aca="false">IF(G247="","UKENDT",IF(OR(E247=0,H247&lt;0),"KRITISK",IF(H247&lt;0.2,"HØJ",IF(H247&lt;0.35,"MIDDEL","OK"))))</f>
        <v>OK</v>
      </c>
      <c r="J247" s="12" t="n">
        <f aca="false">IF(G247="","",MAX(E247,CEILING(G247/(1-Forudsætninger!$B$4)*(1+Forudsætninger!$B$3),IF(G247/(1-Forudsætninger!$B$4)*(1+Forudsætninger!$B$3)&lt;50,1,IF(G247/(1-Forudsætninger!$B$4)*(1+Forudsætninger!$B$3)&lt;200,5,10)))))</f>
        <v>230</v>
      </c>
      <c r="K247" s="15" t="n">
        <f aca="false">IF(OR(J247="",E247=0),"",J247/E247-1)</f>
        <v>0</v>
      </c>
      <c r="L247" s="15" t="n">
        <f aca="false">IF(J247="","",(J247/(1+Forudsætninger!$B$3)-G247)/(J247/(1+Forudsætninger!$B$3)))</f>
        <v>0.455978260869565</v>
      </c>
      <c r="M247" s="11" t="s">
        <v>719</v>
      </c>
      <c r="N247" s="11" t="s">
        <v>720</v>
      </c>
    </row>
    <row r="248" customFormat="false" ht="15" hidden="false" customHeight="false" outlineLevel="0" collapsed="false">
      <c r="A248" s="11" t="s">
        <v>33</v>
      </c>
      <c r="B248" s="11" t="s">
        <v>721</v>
      </c>
      <c r="C248" s="11" t="s">
        <v>722</v>
      </c>
      <c r="D248" s="11" t="s">
        <v>723</v>
      </c>
      <c r="E248" s="12" t="n">
        <v>200</v>
      </c>
      <c r="F248" s="13" t="n">
        <f aca="false">E248/(1+Forudsætninger!$B$3)</f>
        <v>160</v>
      </c>
      <c r="G248" s="14" t="n">
        <v>86.9</v>
      </c>
      <c r="H248" s="15" t="n">
        <f aca="false">IF(OR(G248="",F248=0),"",(F248-G248)/F248)</f>
        <v>0.456875</v>
      </c>
      <c r="I248" s="11" t="str">
        <f aca="false">IF(G248="","UKENDT",IF(OR(E248=0,H248&lt;0),"KRITISK",IF(H248&lt;0.2,"HØJ",IF(H248&lt;0.35,"MIDDEL","OK"))))</f>
        <v>OK</v>
      </c>
      <c r="J248" s="12" t="n">
        <f aca="false">IF(G248="","",MAX(E248,CEILING(G248/(1-Forudsætninger!$B$4)*(1+Forudsætninger!$B$3),IF(G248/(1-Forudsætninger!$B$4)*(1+Forudsætninger!$B$3)&lt;50,1,IF(G248/(1-Forudsætninger!$B$4)*(1+Forudsætninger!$B$3)&lt;200,5,10)))))</f>
        <v>200</v>
      </c>
      <c r="K248" s="15" t="n">
        <f aca="false">IF(OR(J248="",E248=0),"",J248/E248-1)</f>
        <v>0</v>
      </c>
      <c r="L248" s="15" t="n">
        <f aca="false">IF(J248="","",(J248/(1+Forudsætninger!$B$3)-G248)/(J248/(1+Forudsætninger!$B$3)))</f>
        <v>0.456875</v>
      </c>
      <c r="M248" s="11" t="s">
        <v>724</v>
      </c>
      <c r="N248" s="11" t="s">
        <v>725</v>
      </c>
    </row>
    <row r="249" customFormat="false" ht="15" hidden="false" customHeight="false" outlineLevel="0" collapsed="false">
      <c r="A249" s="11" t="s">
        <v>27</v>
      </c>
      <c r="B249" s="11" t="s">
        <v>71</v>
      </c>
      <c r="C249" s="11" t="s">
        <v>110</v>
      </c>
      <c r="D249" s="11" t="s">
        <v>726</v>
      </c>
      <c r="E249" s="12" t="n">
        <v>140</v>
      </c>
      <c r="F249" s="13" t="n">
        <f aca="false">E249/(1+Forudsætninger!$B$3)</f>
        <v>112</v>
      </c>
      <c r="G249" s="14" t="n">
        <v>60.764</v>
      </c>
      <c r="H249" s="15" t="n">
        <f aca="false">IF(OR(G249="",F249=0),"",(F249-G249)/F249)</f>
        <v>0.457464285714286</v>
      </c>
      <c r="I249" s="11" t="str">
        <f aca="false">IF(G249="","UKENDT",IF(OR(E249=0,H249&lt;0),"KRITISK",IF(H249&lt;0.2,"HØJ",IF(H249&lt;0.35,"MIDDEL","OK"))))</f>
        <v>OK</v>
      </c>
      <c r="J249" s="12" t="n">
        <f aca="false">IF(G249="","",MAX(E249,CEILING(G249/(1-Forudsætninger!$B$4)*(1+Forudsætninger!$B$3),IF(G249/(1-Forudsætninger!$B$4)*(1+Forudsætninger!$B$3)&lt;50,1,IF(G249/(1-Forudsætninger!$B$4)*(1+Forudsætninger!$B$3)&lt;200,5,10)))))</f>
        <v>140</v>
      </c>
      <c r="K249" s="15" t="n">
        <f aca="false">IF(OR(J249="",E249=0),"",J249/E249-1)</f>
        <v>0</v>
      </c>
      <c r="L249" s="15" t="n">
        <f aca="false">IF(J249="","",(J249/(1+Forudsætninger!$B$3)-G249)/(J249/(1+Forudsætninger!$B$3)))</f>
        <v>0.457464285714286</v>
      </c>
      <c r="M249" s="11" t="s">
        <v>727</v>
      </c>
      <c r="N249" s="11" t="s">
        <v>728</v>
      </c>
    </row>
    <row r="250" customFormat="false" ht="15" hidden="false" customHeight="false" outlineLevel="0" collapsed="false">
      <c r="A250" s="11" t="s">
        <v>29</v>
      </c>
      <c r="B250" s="11" t="s">
        <v>729</v>
      </c>
      <c r="C250" s="11" t="s">
        <v>89</v>
      </c>
      <c r="D250" s="11" t="s">
        <v>730</v>
      </c>
      <c r="E250" s="12" t="n">
        <v>140</v>
      </c>
      <c r="F250" s="13" t="n">
        <f aca="false">E250/(1+Forudsætninger!$B$3)</f>
        <v>112</v>
      </c>
      <c r="G250" s="14" t="n">
        <v>60.5</v>
      </c>
      <c r="H250" s="15" t="n">
        <f aca="false">IF(OR(G250="",F250=0),"",(F250-G250)/F250)</f>
        <v>0.459821428571429</v>
      </c>
      <c r="I250" s="11" t="str">
        <f aca="false">IF(G250="","UKENDT",IF(OR(E250=0,H250&lt;0),"KRITISK",IF(H250&lt;0.2,"HØJ",IF(H250&lt;0.35,"MIDDEL","OK"))))</f>
        <v>OK</v>
      </c>
      <c r="J250" s="12" t="n">
        <f aca="false">IF(G250="","",MAX(E250,CEILING(G250/(1-Forudsætninger!$B$4)*(1+Forudsætninger!$B$3),IF(G250/(1-Forudsætninger!$B$4)*(1+Forudsætninger!$B$3)&lt;50,1,IF(G250/(1-Forudsætninger!$B$4)*(1+Forudsætninger!$B$3)&lt;200,5,10)))))</f>
        <v>140</v>
      </c>
      <c r="K250" s="15" t="n">
        <f aca="false">IF(OR(J250="",E250=0),"",J250/E250-1)</f>
        <v>0</v>
      </c>
      <c r="L250" s="15" t="n">
        <f aca="false">IF(J250="","",(J250/(1+Forudsætninger!$B$3)-G250)/(J250/(1+Forudsætninger!$B$3)))</f>
        <v>0.459821428571429</v>
      </c>
      <c r="M250" s="11" t="s">
        <v>731</v>
      </c>
      <c r="N250" s="11" t="s">
        <v>732</v>
      </c>
    </row>
    <row r="251" customFormat="false" ht="15" hidden="false" customHeight="false" outlineLevel="0" collapsed="false">
      <c r="A251" s="11" t="s">
        <v>29</v>
      </c>
      <c r="B251" s="11" t="s">
        <v>733</v>
      </c>
      <c r="C251" s="11" t="s">
        <v>89</v>
      </c>
      <c r="D251" s="11" t="s">
        <v>734</v>
      </c>
      <c r="E251" s="12" t="n">
        <v>140</v>
      </c>
      <c r="F251" s="13" t="n">
        <f aca="false">E251/(1+Forudsætninger!$B$3)</f>
        <v>112</v>
      </c>
      <c r="G251" s="14" t="n">
        <v>60.5</v>
      </c>
      <c r="H251" s="15" t="n">
        <f aca="false">IF(OR(G251="",F251=0),"",(F251-G251)/F251)</f>
        <v>0.459821428571429</v>
      </c>
      <c r="I251" s="11" t="str">
        <f aca="false">IF(G251="","UKENDT",IF(OR(E251=0,H251&lt;0),"KRITISK",IF(H251&lt;0.2,"HØJ",IF(H251&lt;0.35,"MIDDEL","OK"))))</f>
        <v>OK</v>
      </c>
      <c r="J251" s="12" t="n">
        <f aca="false">IF(G251="","",MAX(E251,CEILING(G251/(1-Forudsætninger!$B$4)*(1+Forudsætninger!$B$3),IF(G251/(1-Forudsætninger!$B$4)*(1+Forudsætninger!$B$3)&lt;50,1,IF(G251/(1-Forudsætninger!$B$4)*(1+Forudsætninger!$B$3)&lt;200,5,10)))))</f>
        <v>140</v>
      </c>
      <c r="K251" s="15" t="n">
        <f aca="false">IF(OR(J251="",E251=0),"",J251/E251-1)</f>
        <v>0</v>
      </c>
      <c r="L251" s="15" t="n">
        <f aca="false">IF(J251="","",(J251/(1+Forudsætninger!$B$3)-G251)/(J251/(1+Forudsætninger!$B$3)))</f>
        <v>0.459821428571429</v>
      </c>
      <c r="M251" s="11" t="s">
        <v>735</v>
      </c>
      <c r="N251" s="11" t="s">
        <v>732</v>
      </c>
    </row>
    <row r="252" customFormat="false" ht="15" hidden="false" customHeight="false" outlineLevel="0" collapsed="false">
      <c r="A252" s="11" t="s">
        <v>27</v>
      </c>
      <c r="B252" s="11" t="s">
        <v>736</v>
      </c>
      <c r="C252" s="11" t="s">
        <v>110</v>
      </c>
      <c r="D252" s="11" t="s">
        <v>737</v>
      </c>
      <c r="E252" s="12" t="n">
        <v>120</v>
      </c>
      <c r="F252" s="13" t="n">
        <f aca="false">E252/(1+Forudsætninger!$B$3)</f>
        <v>96</v>
      </c>
      <c r="G252" s="14" t="n">
        <v>51.7</v>
      </c>
      <c r="H252" s="15" t="n">
        <f aca="false">IF(OR(G252="",F252=0),"",(F252-G252)/F252)</f>
        <v>0.461458333333333</v>
      </c>
      <c r="I252" s="11" t="str">
        <f aca="false">IF(G252="","UKENDT",IF(OR(E252=0,H252&lt;0),"KRITISK",IF(H252&lt;0.2,"HØJ",IF(H252&lt;0.35,"MIDDEL","OK"))))</f>
        <v>OK</v>
      </c>
      <c r="J252" s="12" t="n">
        <f aca="false">IF(G252="","",MAX(E252,CEILING(G252/(1-Forudsætninger!$B$4)*(1+Forudsætninger!$B$3),IF(G252/(1-Forudsætninger!$B$4)*(1+Forudsætninger!$B$3)&lt;50,1,IF(G252/(1-Forudsætninger!$B$4)*(1+Forudsætninger!$B$3)&lt;200,5,10)))))</f>
        <v>120</v>
      </c>
      <c r="K252" s="15" t="n">
        <f aca="false">IF(OR(J252="",E252=0),"",J252/E252-1)</f>
        <v>0</v>
      </c>
      <c r="L252" s="15" t="n">
        <f aca="false">IF(J252="","",(J252/(1+Forudsætninger!$B$3)-G252)/(J252/(1+Forudsætninger!$B$3)))</f>
        <v>0.461458333333333</v>
      </c>
      <c r="M252" s="11" t="s">
        <v>738</v>
      </c>
      <c r="N252" s="11"/>
    </row>
    <row r="253" customFormat="false" ht="15" hidden="false" customHeight="false" outlineLevel="0" collapsed="false">
      <c r="A253" s="11" t="s">
        <v>30</v>
      </c>
      <c r="B253" s="11" t="s">
        <v>739</v>
      </c>
      <c r="C253" s="11" t="s">
        <v>120</v>
      </c>
      <c r="D253" s="11" t="s">
        <v>740</v>
      </c>
      <c r="E253" s="12" t="n">
        <v>23</v>
      </c>
      <c r="F253" s="13" t="n">
        <f aca="false">E253/(1+Forudsætninger!$B$3)</f>
        <v>18.4</v>
      </c>
      <c r="G253" s="14" t="n">
        <v>9.9</v>
      </c>
      <c r="H253" s="15" t="n">
        <f aca="false">IF(OR(G253="",F253=0),"",(F253-G253)/F253)</f>
        <v>0.46195652173913</v>
      </c>
      <c r="I253" s="11" t="str">
        <f aca="false">IF(G253="","UKENDT",IF(OR(E253=0,H253&lt;0),"KRITISK",IF(H253&lt;0.2,"HØJ",IF(H253&lt;0.35,"MIDDEL","OK"))))</f>
        <v>OK</v>
      </c>
      <c r="J253" s="12" t="n">
        <f aca="false">IF(G253="","",MAX(E253,CEILING(G253/(1-Forudsætninger!$B$4)*(1+Forudsætninger!$B$3),IF(G253/(1-Forudsætninger!$B$4)*(1+Forudsætninger!$B$3)&lt;50,1,IF(G253/(1-Forudsætninger!$B$4)*(1+Forudsætninger!$B$3)&lt;200,5,10)))))</f>
        <v>23</v>
      </c>
      <c r="K253" s="15" t="n">
        <f aca="false">IF(OR(J253="",E253=0),"",J253/E253-1)</f>
        <v>0</v>
      </c>
      <c r="L253" s="15" t="n">
        <f aca="false">IF(J253="","",(J253/(1+Forudsætninger!$B$3)-G253)/(J253/(1+Forudsætninger!$B$3)))</f>
        <v>0.46195652173913</v>
      </c>
      <c r="M253" s="11" t="s">
        <v>741</v>
      </c>
      <c r="N253" s="11" t="s">
        <v>742</v>
      </c>
    </row>
    <row r="254" customFormat="false" ht="15" hidden="false" customHeight="false" outlineLevel="0" collapsed="false">
      <c r="A254" s="11" t="s">
        <v>30</v>
      </c>
      <c r="B254" s="11" t="s">
        <v>739</v>
      </c>
      <c r="C254" s="11" t="s">
        <v>123</v>
      </c>
      <c r="D254" s="11" t="s">
        <v>743</v>
      </c>
      <c r="E254" s="12" t="n">
        <v>23</v>
      </c>
      <c r="F254" s="13" t="n">
        <f aca="false">E254/(1+Forudsætninger!$B$3)</f>
        <v>18.4</v>
      </c>
      <c r="G254" s="14" t="n">
        <v>9.9</v>
      </c>
      <c r="H254" s="15" t="n">
        <f aca="false">IF(OR(G254="",F254=0),"",(F254-G254)/F254)</f>
        <v>0.46195652173913</v>
      </c>
      <c r="I254" s="11" t="str">
        <f aca="false">IF(G254="","UKENDT",IF(OR(E254=0,H254&lt;0),"KRITISK",IF(H254&lt;0.2,"HØJ",IF(H254&lt;0.35,"MIDDEL","OK"))))</f>
        <v>OK</v>
      </c>
      <c r="J254" s="12" t="n">
        <f aca="false">IF(G254="","",MAX(E254,CEILING(G254/(1-Forudsætninger!$B$4)*(1+Forudsætninger!$B$3),IF(G254/(1-Forudsætninger!$B$4)*(1+Forudsætninger!$B$3)&lt;50,1,IF(G254/(1-Forudsætninger!$B$4)*(1+Forudsætninger!$B$3)&lt;200,5,10)))))</f>
        <v>23</v>
      </c>
      <c r="K254" s="15" t="n">
        <f aca="false">IF(OR(J254="",E254=0),"",J254/E254-1)</f>
        <v>0</v>
      </c>
      <c r="L254" s="15" t="n">
        <f aca="false">IF(J254="","",(J254/(1+Forudsætninger!$B$3)-G254)/(J254/(1+Forudsætninger!$B$3)))</f>
        <v>0.46195652173913</v>
      </c>
      <c r="M254" s="11" t="s">
        <v>744</v>
      </c>
      <c r="N254" s="11" t="s">
        <v>742</v>
      </c>
    </row>
    <row r="255" customFormat="false" ht="15" hidden="false" customHeight="false" outlineLevel="0" collapsed="false">
      <c r="A255" s="11" t="s">
        <v>30</v>
      </c>
      <c r="B255" s="11" t="s">
        <v>739</v>
      </c>
      <c r="C255" s="11" t="s">
        <v>126</v>
      </c>
      <c r="D255" s="11" t="s">
        <v>745</v>
      </c>
      <c r="E255" s="12" t="n">
        <v>23</v>
      </c>
      <c r="F255" s="13" t="n">
        <f aca="false">E255/(1+Forudsætninger!$B$3)</f>
        <v>18.4</v>
      </c>
      <c r="G255" s="14" t="n">
        <v>9.9</v>
      </c>
      <c r="H255" s="15" t="n">
        <f aca="false">IF(OR(G255="",F255=0),"",(F255-G255)/F255)</f>
        <v>0.46195652173913</v>
      </c>
      <c r="I255" s="11" t="str">
        <f aca="false">IF(G255="","UKENDT",IF(OR(E255=0,H255&lt;0),"KRITISK",IF(H255&lt;0.2,"HØJ",IF(H255&lt;0.35,"MIDDEL","OK"))))</f>
        <v>OK</v>
      </c>
      <c r="J255" s="12" t="n">
        <f aca="false">IF(G255="","",MAX(E255,CEILING(G255/(1-Forudsætninger!$B$4)*(1+Forudsætninger!$B$3),IF(G255/(1-Forudsætninger!$B$4)*(1+Forudsætninger!$B$3)&lt;50,1,IF(G255/(1-Forudsætninger!$B$4)*(1+Forudsætninger!$B$3)&lt;200,5,10)))))</f>
        <v>23</v>
      </c>
      <c r="K255" s="15" t="n">
        <f aca="false">IF(OR(J255="",E255=0),"",J255/E255-1)</f>
        <v>0</v>
      </c>
      <c r="L255" s="15" t="n">
        <f aca="false">IF(J255="","",(J255/(1+Forudsætninger!$B$3)-G255)/(J255/(1+Forudsætninger!$B$3)))</f>
        <v>0.46195652173913</v>
      </c>
      <c r="M255" s="11" t="s">
        <v>746</v>
      </c>
      <c r="N255" s="11" t="s">
        <v>742</v>
      </c>
    </row>
    <row r="256" customFormat="false" ht="15" hidden="false" customHeight="false" outlineLevel="0" collapsed="false">
      <c r="A256" s="11" t="s">
        <v>30</v>
      </c>
      <c r="B256" s="11" t="s">
        <v>739</v>
      </c>
      <c r="C256" s="11" t="s">
        <v>129</v>
      </c>
      <c r="D256" s="11" t="s">
        <v>747</v>
      </c>
      <c r="E256" s="12" t="n">
        <v>23</v>
      </c>
      <c r="F256" s="13" t="n">
        <f aca="false">E256/(1+Forudsætninger!$B$3)</f>
        <v>18.4</v>
      </c>
      <c r="G256" s="14" t="n">
        <v>9.9</v>
      </c>
      <c r="H256" s="15" t="n">
        <f aca="false">IF(OR(G256="",F256=0),"",(F256-G256)/F256)</f>
        <v>0.46195652173913</v>
      </c>
      <c r="I256" s="11" t="str">
        <f aca="false">IF(G256="","UKENDT",IF(OR(E256=0,H256&lt;0),"KRITISK",IF(H256&lt;0.2,"HØJ",IF(H256&lt;0.35,"MIDDEL","OK"))))</f>
        <v>OK</v>
      </c>
      <c r="J256" s="12" t="n">
        <f aca="false">IF(G256="","",MAX(E256,CEILING(G256/(1-Forudsætninger!$B$4)*(1+Forudsætninger!$B$3),IF(G256/(1-Forudsætninger!$B$4)*(1+Forudsætninger!$B$3)&lt;50,1,IF(G256/(1-Forudsætninger!$B$4)*(1+Forudsætninger!$B$3)&lt;200,5,10)))))</f>
        <v>23</v>
      </c>
      <c r="K256" s="15" t="n">
        <f aca="false">IF(OR(J256="",E256=0),"",J256/E256-1)</f>
        <v>0</v>
      </c>
      <c r="L256" s="15" t="n">
        <f aca="false">IF(J256="","",(J256/(1+Forudsætninger!$B$3)-G256)/(J256/(1+Forudsætninger!$B$3)))</f>
        <v>0.46195652173913</v>
      </c>
      <c r="M256" s="11" t="s">
        <v>748</v>
      </c>
      <c r="N256" s="11" t="s">
        <v>742</v>
      </c>
    </row>
    <row r="257" customFormat="false" ht="15" hidden="false" customHeight="false" outlineLevel="0" collapsed="false">
      <c r="A257" s="11" t="s">
        <v>30</v>
      </c>
      <c r="B257" s="11" t="s">
        <v>739</v>
      </c>
      <c r="C257" s="11" t="s">
        <v>132</v>
      </c>
      <c r="D257" s="11" t="s">
        <v>749</v>
      </c>
      <c r="E257" s="12" t="n">
        <v>23</v>
      </c>
      <c r="F257" s="13" t="n">
        <f aca="false">E257/(1+Forudsætninger!$B$3)</f>
        <v>18.4</v>
      </c>
      <c r="G257" s="14" t="n">
        <v>9.9</v>
      </c>
      <c r="H257" s="15" t="n">
        <f aca="false">IF(OR(G257="",F257=0),"",(F257-G257)/F257)</f>
        <v>0.46195652173913</v>
      </c>
      <c r="I257" s="11" t="str">
        <f aca="false">IF(G257="","UKENDT",IF(OR(E257=0,H257&lt;0),"KRITISK",IF(H257&lt;0.2,"HØJ",IF(H257&lt;0.35,"MIDDEL","OK"))))</f>
        <v>OK</v>
      </c>
      <c r="J257" s="12" t="n">
        <f aca="false">IF(G257="","",MAX(E257,CEILING(G257/(1-Forudsætninger!$B$4)*(1+Forudsætninger!$B$3),IF(G257/(1-Forudsætninger!$B$4)*(1+Forudsætninger!$B$3)&lt;50,1,IF(G257/(1-Forudsætninger!$B$4)*(1+Forudsætninger!$B$3)&lt;200,5,10)))))</f>
        <v>23</v>
      </c>
      <c r="K257" s="15" t="n">
        <f aca="false">IF(OR(J257="",E257=0),"",J257/E257-1)</f>
        <v>0</v>
      </c>
      <c r="L257" s="15" t="n">
        <f aca="false">IF(J257="","",(J257/(1+Forudsætninger!$B$3)-G257)/(J257/(1+Forudsætninger!$B$3)))</f>
        <v>0.46195652173913</v>
      </c>
      <c r="M257" s="11" t="s">
        <v>750</v>
      </c>
      <c r="N257" s="11" t="s">
        <v>742</v>
      </c>
    </row>
    <row r="258" customFormat="false" ht="15" hidden="false" customHeight="false" outlineLevel="0" collapsed="false">
      <c r="A258" s="11" t="s">
        <v>30</v>
      </c>
      <c r="B258" s="11" t="s">
        <v>739</v>
      </c>
      <c r="C258" s="11" t="s">
        <v>138</v>
      </c>
      <c r="D258" s="11" t="s">
        <v>751</v>
      </c>
      <c r="E258" s="12" t="n">
        <v>23</v>
      </c>
      <c r="F258" s="13" t="n">
        <f aca="false">E258/(1+Forudsætninger!$B$3)</f>
        <v>18.4</v>
      </c>
      <c r="G258" s="14" t="n">
        <v>9.9</v>
      </c>
      <c r="H258" s="15" t="n">
        <f aca="false">IF(OR(G258="",F258=0),"",(F258-G258)/F258)</f>
        <v>0.46195652173913</v>
      </c>
      <c r="I258" s="11" t="str">
        <f aca="false">IF(G258="","UKENDT",IF(OR(E258=0,H258&lt;0),"KRITISK",IF(H258&lt;0.2,"HØJ",IF(H258&lt;0.35,"MIDDEL","OK"))))</f>
        <v>OK</v>
      </c>
      <c r="J258" s="12" t="n">
        <f aca="false">IF(G258="","",MAX(E258,CEILING(G258/(1-Forudsætninger!$B$4)*(1+Forudsætninger!$B$3),IF(G258/(1-Forudsætninger!$B$4)*(1+Forudsætninger!$B$3)&lt;50,1,IF(G258/(1-Forudsætninger!$B$4)*(1+Forudsætninger!$B$3)&lt;200,5,10)))))</f>
        <v>23</v>
      </c>
      <c r="K258" s="15" t="n">
        <f aca="false">IF(OR(J258="",E258=0),"",J258/E258-1)</f>
        <v>0</v>
      </c>
      <c r="L258" s="15" t="n">
        <f aca="false">IF(J258="","",(J258/(1+Forudsætninger!$B$3)-G258)/(J258/(1+Forudsætninger!$B$3)))</f>
        <v>0.46195652173913</v>
      </c>
      <c r="M258" s="11" t="s">
        <v>752</v>
      </c>
      <c r="N258" s="11" t="s">
        <v>742</v>
      </c>
    </row>
    <row r="259" customFormat="false" ht="15" hidden="false" customHeight="false" outlineLevel="0" collapsed="false">
      <c r="A259" s="11" t="s">
        <v>27</v>
      </c>
      <c r="B259" s="11" t="s">
        <v>736</v>
      </c>
      <c r="C259" s="11" t="s">
        <v>100</v>
      </c>
      <c r="D259" s="11" t="s">
        <v>753</v>
      </c>
      <c r="E259" s="12" t="n">
        <v>59</v>
      </c>
      <c r="F259" s="13" t="n">
        <f aca="false">E259/(1+Forudsætninger!$B$3)</f>
        <v>47.2</v>
      </c>
      <c r="G259" s="14" t="n">
        <v>25.3</v>
      </c>
      <c r="H259" s="15" t="n">
        <f aca="false">IF(OR(G259="",F259=0),"",(F259-G259)/F259)</f>
        <v>0.463983050847458</v>
      </c>
      <c r="I259" s="11" t="str">
        <f aca="false">IF(G259="","UKENDT",IF(OR(E259=0,H259&lt;0),"KRITISK",IF(H259&lt;0.2,"HØJ",IF(H259&lt;0.35,"MIDDEL","OK"))))</f>
        <v>OK</v>
      </c>
      <c r="J259" s="12" t="n">
        <f aca="false">IF(G259="","",MAX(E259,CEILING(G259/(1-Forudsætninger!$B$4)*(1+Forudsætninger!$B$3),IF(G259/(1-Forudsætninger!$B$4)*(1+Forudsætninger!$B$3)&lt;50,1,IF(G259/(1-Forudsætninger!$B$4)*(1+Forudsætninger!$B$3)&lt;200,5,10)))))</f>
        <v>60</v>
      </c>
      <c r="K259" s="15" t="n">
        <f aca="false">IF(OR(J259="",E259=0),"",J259/E259-1)</f>
        <v>0.0169491525423728</v>
      </c>
      <c r="L259" s="15" t="n">
        <f aca="false">IF(J259="","",(J259/(1+Forudsætninger!$B$3)-G259)/(J259/(1+Forudsætninger!$B$3)))</f>
        <v>0.472916666666667</v>
      </c>
      <c r="M259" s="11" t="s">
        <v>754</v>
      </c>
      <c r="N259" s="11"/>
    </row>
    <row r="260" customFormat="false" ht="15" hidden="false" customHeight="false" outlineLevel="0" collapsed="false">
      <c r="A260" s="11" t="s">
        <v>28</v>
      </c>
      <c r="B260" s="11" t="s">
        <v>540</v>
      </c>
      <c r="C260" s="11" t="s">
        <v>755</v>
      </c>
      <c r="D260" s="11" t="s">
        <v>756</v>
      </c>
      <c r="E260" s="12" t="n">
        <v>29</v>
      </c>
      <c r="F260" s="13" t="n">
        <f aca="false">E260/(1+Forudsætninger!$B$3)</f>
        <v>23.2</v>
      </c>
      <c r="G260" s="14" t="n">
        <v>12.43</v>
      </c>
      <c r="H260" s="15" t="n">
        <f aca="false">IF(OR(G260="",F260=0),"",(F260-G260)/F260)</f>
        <v>0.464224137931034</v>
      </c>
      <c r="I260" s="11" t="str">
        <f aca="false">IF(G260="","UKENDT",IF(OR(E260=0,H260&lt;0),"KRITISK",IF(H260&lt;0.2,"HØJ",IF(H260&lt;0.35,"MIDDEL","OK"))))</f>
        <v>OK</v>
      </c>
      <c r="J260" s="12" t="n">
        <f aca="false">IF(G260="","",MAX(E260,CEILING(G260/(1-Forudsætninger!$B$4)*(1+Forudsætninger!$B$3),IF(G260/(1-Forudsætninger!$B$4)*(1+Forudsætninger!$B$3)&lt;50,1,IF(G260/(1-Forudsætninger!$B$4)*(1+Forudsætninger!$B$3)&lt;200,5,10)))))</f>
        <v>29</v>
      </c>
      <c r="K260" s="15" t="n">
        <f aca="false">IF(OR(J260="",E260=0),"",J260/E260-1)</f>
        <v>0</v>
      </c>
      <c r="L260" s="15" t="n">
        <f aca="false">IF(J260="","",(J260/(1+Forudsætninger!$B$3)-G260)/(J260/(1+Forudsætninger!$B$3)))</f>
        <v>0.464224137931034</v>
      </c>
      <c r="M260" s="11" t="s">
        <v>757</v>
      </c>
      <c r="N260" s="11"/>
    </row>
    <row r="261" customFormat="false" ht="15" hidden="false" customHeight="false" outlineLevel="0" collapsed="false">
      <c r="A261" s="11" t="s">
        <v>27</v>
      </c>
      <c r="B261" s="11" t="s">
        <v>71</v>
      </c>
      <c r="C261" s="11" t="s">
        <v>698</v>
      </c>
      <c r="D261" s="11" t="s">
        <v>758</v>
      </c>
      <c r="E261" s="12" t="n">
        <v>170</v>
      </c>
      <c r="F261" s="13" t="n">
        <f aca="false">E261/(1+Forudsætninger!$B$3)</f>
        <v>136</v>
      </c>
      <c r="G261" s="14" t="n">
        <v>72.776</v>
      </c>
      <c r="H261" s="15" t="n">
        <f aca="false">IF(OR(G261="",F261=0),"",(F261-G261)/F261)</f>
        <v>0.464882352941177</v>
      </c>
      <c r="I261" s="11" t="str">
        <f aca="false">IF(G261="","UKENDT",IF(OR(E261=0,H261&lt;0),"KRITISK",IF(H261&lt;0.2,"HØJ",IF(H261&lt;0.35,"MIDDEL","OK"))))</f>
        <v>OK</v>
      </c>
      <c r="J261" s="12" t="n">
        <f aca="false">IF(G261="","",MAX(E261,CEILING(G261/(1-Forudsætninger!$B$4)*(1+Forudsætninger!$B$3),IF(G261/(1-Forudsætninger!$B$4)*(1+Forudsætninger!$B$3)&lt;50,1,IF(G261/(1-Forudsætninger!$B$4)*(1+Forudsætninger!$B$3)&lt;200,5,10)))))</f>
        <v>170</v>
      </c>
      <c r="K261" s="15" t="n">
        <f aca="false">IF(OR(J261="",E261=0),"",J261/E261-1)</f>
        <v>0</v>
      </c>
      <c r="L261" s="15" t="n">
        <f aca="false">IF(J261="","",(J261/(1+Forudsætninger!$B$3)-G261)/(J261/(1+Forudsætninger!$B$3)))</f>
        <v>0.464882352941177</v>
      </c>
      <c r="M261" s="11" t="s">
        <v>759</v>
      </c>
      <c r="N261" s="11" t="s">
        <v>760</v>
      </c>
    </row>
    <row r="262" customFormat="false" ht="15" hidden="false" customHeight="false" outlineLevel="0" collapsed="false">
      <c r="A262" s="11" t="s">
        <v>27</v>
      </c>
      <c r="B262" s="11" t="s">
        <v>482</v>
      </c>
      <c r="C262" s="11" t="s">
        <v>761</v>
      </c>
      <c r="D262" s="11" t="s">
        <v>762</v>
      </c>
      <c r="E262" s="12" t="n">
        <v>244</v>
      </c>
      <c r="F262" s="13" t="n">
        <f aca="false">E262/(1+Forudsætninger!$B$3)</f>
        <v>195.2</v>
      </c>
      <c r="G262" s="14" t="n">
        <v>103.95</v>
      </c>
      <c r="H262" s="15" t="n">
        <f aca="false">IF(OR(G262="",F262=0),"",(F262-G262)/F262)</f>
        <v>0.467469262295082</v>
      </c>
      <c r="I262" s="11" t="str">
        <f aca="false">IF(G262="","UKENDT",IF(OR(E262=0,H262&lt;0),"KRITISK",IF(H262&lt;0.2,"HØJ",IF(H262&lt;0.35,"MIDDEL","OK"))))</f>
        <v>OK</v>
      </c>
      <c r="J262" s="12" t="n">
        <f aca="false">IF(G262="","",MAX(E262,CEILING(G262/(1-Forudsætninger!$B$4)*(1+Forudsætninger!$B$3),IF(G262/(1-Forudsætninger!$B$4)*(1+Forudsætninger!$B$3)&lt;50,1,IF(G262/(1-Forudsætninger!$B$4)*(1+Forudsætninger!$B$3)&lt;200,5,10)))))</f>
        <v>244</v>
      </c>
      <c r="K262" s="15" t="n">
        <f aca="false">IF(OR(J262="",E262=0),"",J262/E262-1)</f>
        <v>0</v>
      </c>
      <c r="L262" s="15" t="n">
        <f aca="false">IF(J262="","",(J262/(1+Forudsætninger!$B$3)-G262)/(J262/(1+Forudsætninger!$B$3)))</f>
        <v>0.467469262295082</v>
      </c>
      <c r="M262" s="11" t="s">
        <v>763</v>
      </c>
      <c r="N262" s="11"/>
    </row>
    <row r="263" customFormat="false" ht="15" hidden="false" customHeight="false" outlineLevel="0" collapsed="false">
      <c r="A263" s="11" t="s">
        <v>24</v>
      </c>
      <c r="B263" s="11" t="s">
        <v>144</v>
      </c>
      <c r="C263" s="11" t="s">
        <v>192</v>
      </c>
      <c r="D263" s="11" t="s">
        <v>764</v>
      </c>
      <c r="E263" s="12" t="n">
        <v>70</v>
      </c>
      <c r="F263" s="13" t="n">
        <f aca="false">E263/(1+Forudsætninger!$B$3)</f>
        <v>56</v>
      </c>
      <c r="G263" s="14" t="n">
        <v>29.7</v>
      </c>
      <c r="H263" s="15" t="n">
        <f aca="false">IF(OR(G263="",F263=0),"",(F263-G263)/F263)</f>
        <v>0.469642857142857</v>
      </c>
      <c r="I263" s="11" t="str">
        <f aca="false">IF(G263="","UKENDT",IF(OR(E263=0,H263&lt;0),"KRITISK",IF(H263&lt;0.2,"HØJ",IF(H263&lt;0.35,"MIDDEL","OK"))))</f>
        <v>OK</v>
      </c>
      <c r="J263" s="12" t="n">
        <f aca="false">IF(G263="","",MAX(E263,CEILING(G263/(1-Forudsætninger!$B$4)*(1+Forudsætninger!$B$3),IF(G263/(1-Forudsætninger!$B$4)*(1+Forudsætninger!$B$3)&lt;50,1,IF(G263/(1-Forudsætninger!$B$4)*(1+Forudsætninger!$B$3)&lt;200,5,10)))))</f>
        <v>70</v>
      </c>
      <c r="K263" s="15" t="n">
        <f aca="false">IF(OR(J263="",E263=0),"",J263/E263-1)</f>
        <v>0</v>
      </c>
      <c r="L263" s="15" t="n">
        <f aca="false">IF(J263="","",(J263/(1+Forudsætninger!$B$3)-G263)/(J263/(1+Forudsætninger!$B$3)))</f>
        <v>0.469642857142857</v>
      </c>
      <c r="M263" s="11" t="s">
        <v>765</v>
      </c>
      <c r="N263" s="11" t="s">
        <v>766</v>
      </c>
    </row>
    <row r="264" customFormat="false" ht="15" hidden="false" customHeight="false" outlineLevel="0" collapsed="false">
      <c r="A264" s="11" t="s">
        <v>27</v>
      </c>
      <c r="B264" s="11" t="s">
        <v>324</v>
      </c>
      <c r="C264" s="11" t="s">
        <v>186</v>
      </c>
      <c r="D264" s="11" t="s">
        <v>767</v>
      </c>
      <c r="E264" s="12" t="n">
        <v>100</v>
      </c>
      <c r="F264" s="13" t="n">
        <f aca="false">E264/(1+Forudsætninger!$B$3)</f>
        <v>80</v>
      </c>
      <c r="G264" s="14" t="n">
        <v>42.262</v>
      </c>
      <c r="H264" s="15" t="n">
        <f aca="false">IF(OR(G264="",F264=0),"",(F264-G264)/F264)</f>
        <v>0.471725</v>
      </c>
      <c r="I264" s="11" t="str">
        <f aca="false">IF(G264="","UKENDT",IF(OR(E264=0,H264&lt;0),"KRITISK",IF(H264&lt;0.2,"HØJ",IF(H264&lt;0.35,"MIDDEL","OK"))))</f>
        <v>OK</v>
      </c>
      <c r="J264" s="12" t="n">
        <f aca="false">IF(G264="","",MAX(E264,CEILING(G264/(1-Forudsætninger!$B$4)*(1+Forudsætninger!$B$3),IF(G264/(1-Forudsætninger!$B$4)*(1+Forudsætninger!$B$3)&lt;50,1,IF(G264/(1-Forudsætninger!$B$4)*(1+Forudsætninger!$B$3)&lt;200,5,10)))))</f>
        <v>100</v>
      </c>
      <c r="K264" s="15" t="n">
        <f aca="false">IF(OR(J264="",E264=0),"",J264/E264-1)</f>
        <v>0</v>
      </c>
      <c r="L264" s="15" t="n">
        <f aca="false">IF(J264="","",(J264/(1+Forudsætninger!$B$3)-G264)/(J264/(1+Forudsætninger!$B$3)))</f>
        <v>0.471725</v>
      </c>
      <c r="M264" s="11" t="s">
        <v>768</v>
      </c>
      <c r="N264" s="11" t="s">
        <v>769</v>
      </c>
    </row>
    <row r="265" customFormat="false" ht="15" hidden="false" customHeight="false" outlineLevel="0" collapsed="false">
      <c r="A265" s="11" t="s">
        <v>29</v>
      </c>
      <c r="B265" s="11" t="s">
        <v>704</v>
      </c>
      <c r="C265" s="11" t="s">
        <v>770</v>
      </c>
      <c r="D265" s="11" t="s">
        <v>771</v>
      </c>
      <c r="E265" s="12" t="n">
        <v>60</v>
      </c>
      <c r="F265" s="13" t="n">
        <f aca="false">E265/(1+Forudsætninger!$B$3)</f>
        <v>48</v>
      </c>
      <c r="G265" s="14" t="n">
        <v>25.3</v>
      </c>
      <c r="H265" s="15" t="n">
        <f aca="false">IF(OR(G265="",F265=0),"",(F265-G265)/F265)</f>
        <v>0.472916666666667</v>
      </c>
      <c r="I265" s="11" t="str">
        <f aca="false">IF(G265="","UKENDT",IF(OR(E265=0,H265&lt;0),"KRITISK",IF(H265&lt;0.2,"HØJ",IF(H265&lt;0.35,"MIDDEL","OK"))))</f>
        <v>OK</v>
      </c>
      <c r="J265" s="12" t="n">
        <f aca="false">IF(G265="","",MAX(E265,CEILING(G265/(1-Forudsætninger!$B$4)*(1+Forudsætninger!$B$3),IF(G265/(1-Forudsætninger!$B$4)*(1+Forudsætninger!$B$3)&lt;50,1,IF(G265/(1-Forudsætninger!$B$4)*(1+Forudsætninger!$B$3)&lt;200,5,10)))))</f>
        <v>60</v>
      </c>
      <c r="K265" s="15" t="n">
        <f aca="false">IF(OR(J265="",E265=0),"",J265/E265-1)</f>
        <v>0</v>
      </c>
      <c r="L265" s="15" t="n">
        <f aca="false">IF(J265="","",(J265/(1+Forudsætninger!$B$3)-G265)/(J265/(1+Forudsætninger!$B$3)))</f>
        <v>0.472916666666667</v>
      </c>
      <c r="M265" s="11" t="s">
        <v>772</v>
      </c>
      <c r="N265" s="11" t="s">
        <v>773</v>
      </c>
    </row>
    <row r="266" customFormat="false" ht="15" hidden="false" customHeight="false" outlineLevel="0" collapsed="false">
      <c r="A266" s="11" t="s">
        <v>27</v>
      </c>
      <c r="B266" s="11" t="s">
        <v>528</v>
      </c>
      <c r="C266" s="11" t="s">
        <v>186</v>
      </c>
      <c r="D266" s="11" t="s">
        <v>774</v>
      </c>
      <c r="E266" s="12" t="n">
        <v>102</v>
      </c>
      <c r="F266" s="13" t="n">
        <f aca="false">E266/(1+Forudsætninger!$B$3)</f>
        <v>81.6</v>
      </c>
      <c r="G266" s="14" t="n">
        <v>42.9</v>
      </c>
      <c r="H266" s="15" t="n">
        <f aca="false">IF(OR(G266="",F266=0),"",(F266-G266)/F266)</f>
        <v>0.474264705882353</v>
      </c>
      <c r="I266" s="11" t="str">
        <f aca="false">IF(G266="","UKENDT",IF(OR(E266=0,H266&lt;0),"KRITISK",IF(H266&lt;0.2,"HØJ",IF(H266&lt;0.35,"MIDDEL","OK"))))</f>
        <v>OK</v>
      </c>
      <c r="J266" s="12" t="n">
        <f aca="false">IF(G266="","",MAX(E266,CEILING(G266/(1-Forudsætninger!$B$4)*(1+Forudsætninger!$B$3),IF(G266/(1-Forudsætninger!$B$4)*(1+Forudsætninger!$B$3)&lt;50,1,IF(G266/(1-Forudsætninger!$B$4)*(1+Forudsætninger!$B$3)&lt;200,5,10)))))</f>
        <v>102</v>
      </c>
      <c r="K266" s="15" t="n">
        <f aca="false">IF(OR(J266="",E266=0),"",J266/E266-1)</f>
        <v>0</v>
      </c>
      <c r="L266" s="15" t="n">
        <f aca="false">IF(J266="","",(J266/(1+Forudsætninger!$B$3)-G266)/(J266/(1+Forudsætninger!$B$3)))</f>
        <v>0.474264705882353</v>
      </c>
      <c r="M266" s="11" t="s">
        <v>775</v>
      </c>
      <c r="N266" s="11"/>
    </row>
    <row r="267" customFormat="false" ht="15" hidden="false" customHeight="false" outlineLevel="0" collapsed="false">
      <c r="A267" s="11" t="s">
        <v>27</v>
      </c>
      <c r="B267" s="11" t="s">
        <v>507</v>
      </c>
      <c r="C267" s="11" t="s">
        <v>186</v>
      </c>
      <c r="D267" s="11" t="s">
        <v>776</v>
      </c>
      <c r="E267" s="12" t="n">
        <v>102</v>
      </c>
      <c r="F267" s="13" t="n">
        <f aca="false">E267/(1+Forudsætninger!$B$3)</f>
        <v>81.6</v>
      </c>
      <c r="G267" s="14" t="n">
        <v>42.9</v>
      </c>
      <c r="H267" s="15" t="n">
        <f aca="false">IF(OR(G267="",F267=0),"",(F267-G267)/F267)</f>
        <v>0.474264705882353</v>
      </c>
      <c r="I267" s="11" t="str">
        <f aca="false">IF(G267="","UKENDT",IF(OR(E267=0,H267&lt;0),"KRITISK",IF(H267&lt;0.2,"HØJ",IF(H267&lt;0.35,"MIDDEL","OK"))))</f>
        <v>OK</v>
      </c>
      <c r="J267" s="12" t="n">
        <f aca="false">IF(G267="","",MAX(E267,CEILING(G267/(1-Forudsætninger!$B$4)*(1+Forudsætninger!$B$3),IF(G267/(1-Forudsætninger!$B$4)*(1+Forudsætninger!$B$3)&lt;50,1,IF(G267/(1-Forudsætninger!$B$4)*(1+Forudsætninger!$B$3)&lt;200,5,10)))))</f>
        <v>102</v>
      </c>
      <c r="K267" s="15" t="n">
        <f aca="false">IF(OR(J267="",E267=0),"",J267/E267-1)</f>
        <v>0</v>
      </c>
      <c r="L267" s="15" t="n">
        <f aca="false">IF(J267="","",(J267/(1+Forudsætninger!$B$3)-G267)/(J267/(1+Forudsætninger!$B$3)))</f>
        <v>0.474264705882353</v>
      </c>
      <c r="M267" s="11" t="s">
        <v>777</v>
      </c>
      <c r="N267" s="11"/>
    </row>
    <row r="268" customFormat="false" ht="15" hidden="false" customHeight="false" outlineLevel="0" collapsed="false">
      <c r="A268" s="11" t="s">
        <v>27</v>
      </c>
      <c r="B268" s="11" t="s">
        <v>736</v>
      </c>
      <c r="C268" s="11" t="s">
        <v>148</v>
      </c>
      <c r="D268" s="11" t="s">
        <v>778</v>
      </c>
      <c r="E268" s="12" t="n">
        <v>102</v>
      </c>
      <c r="F268" s="13" t="n">
        <f aca="false">E268/(1+Forudsætninger!$B$3)</f>
        <v>81.6</v>
      </c>
      <c r="G268" s="14" t="n">
        <v>42.9</v>
      </c>
      <c r="H268" s="15" t="n">
        <f aca="false">IF(OR(G268="",F268=0),"",(F268-G268)/F268)</f>
        <v>0.474264705882353</v>
      </c>
      <c r="I268" s="11" t="str">
        <f aca="false">IF(G268="","UKENDT",IF(OR(E268=0,H268&lt;0),"KRITISK",IF(H268&lt;0.2,"HØJ",IF(H268&lt;0.35,"MIDDEL","OK"))))</f>
        <v>OK</v>
      </c>
      <c r="J268" s="12" t="n">
        <f aca="false">IF(G268="","",MAX(E268,CEILING(G268/(1-Forudsætninger!$B$4)*(1+Forudsætninger!$B$3),IF(G268/(1-Forudsætninger!$B$4)*(1+Forudsætninger!$B$3)&lt;50,1,IF(G268/(1-Forudsætninger!$B$4)*(1+Forudsætninger!$B$3)&lt;200,5,10)))))</f>
        <v>102</v>
      </c>
      <c r="K268" s="15" t="n">
        <f aca="false">IF(OR(J268="",E268=0),"",J268/E268-1)</f>
        <v>0</v>
      </c>
      <c r="L268" s="15" t="n">
        <f aca="false">IF(J268="","",(J268/(1+Forudsætninger!$B$3)-G268)/(J268/(1+Forudsætninger!$B$3)))</f>
        <v>0.474264705882353</v>
      </c>
      <c r="M268" s="11" t="s">
        <v>779</v>
      </c>
      <c r="N268" s="11"/>
    </row>
    <row r="269" customFormat="false" ht="15" hidden="false" customHeight="false" outlineLevel="0" collapsed="false">
      <c r="A269" s="11" t="s">
        <v>27</v>
      </c>
      <c r="B269" s="11" t="s">
        <v>736</v>
      </c>
      <c r="C269" s="11" t="s">
        <v>186</v>
      </c>
      <c r="D269" s="11" t="s">
        <v>780</v>
      </c>
      <c r="E269" s="12" t="n">
        <v>92</v>
      </c>
      <c r="F269" s="13" t="n">
        <f aca="false">E269/(1+Forudsætninger!$B$3)</f>
        <v>73.6</v>
      </c>
      <c r="G269" s="14" t="n">
        <v>38.5</v>
      </c>
      <c r="H269" s="15" t="n">
        <f aca="false">IF(OR(G269="",F269=0),"",(F269-G269)/F269)</f>
        <v>0.476902173913043</v>
      </c>
      <c r="I269" s="11" t="str">
        <f aca="false">IF(G269="","UKENDT",IF(OR(E269=0,H269&lt;0),"KRITISK",IF(H269&lt;0.2,"HØJ",IF(H269&lt;0.35,"MIDDEL","OK"))))</f>
        <v>OK</v>
      </c>
      <c r="J269" s="12" t="n">
        <f aca="false">IF(G269="","",MAX(E269,CEILING(G269/(1-Forudsætninger!$B$4)*(1+Forudsætninger!$B$3),IF(G269/(1-Forudsætninger!$B$4)*(1+Forudsætninger!$B$3)&lt;50,1,IF(G269/(1-Forudsætninger!$B$4)*(1+Forudsætninger!$B$3)&lt;200,5,10)))))</f>
        <v>92</v>
      </c>
      <c r="K269" s="15" t="n">
        <f aca="false">IF(OR(J269="",E269=0),"",J269/E269-1)</f>
        <v>0</v>
      </c>
      <c r="L269" s="15" t="n">
        <f aca="false">IF(J269="","",(J269/(1+Forudsætninger!$B$3)-G269)/(J269/(1+Forudsætninger!$B$3)))</f>
        <v>0.476902173913043</v>
      </c>
      <c r="M269" s="11" t="s">
        <v>781</v>
      </c>
      <c r="N269" s="11"/>
    </row>
    <row r="270" customFormat="false" ht="15" hidden="false" customHeight="false" outlineLevel="0" collapsed="false">
      <c r="A270" s="11" t="s">
        <v>24</v>
      </c>
      <c r="B270" s="11" t="s">
        <v>456</v>
      </c>
      <c r="C270" s="11" t="s">
        <v>145</v>
      </c>
      <c r="D270" s="11" t="s">
        <v>782</v>
      </c>
      <c r="E270" s="12" t="n">
        <v>29</v>
      </c>
      <c r="F270" s="13" t="n">
        <f aca="false">E270/(1+Forudsætninger!$B$3)</f>
        <v>23.2</v>
      </c>
      <c r="G270" s="14" t="n">
        <v>12.1</v>
      </c>
      <c r="H270" s="15" t="n">
        <f aca="false">IF(OR(G270="",F270=0),"",(F270-G270)/F270)</f>
        <v>0.478448275862069</v>
      </c>
      <c r="I270" s="11" t="str">
        <f aca="false">IF(G270="","UKENDT",IF(OR(E270=0,H270&lt;0),"KRITISK",IF(H270&lt;0.2,"HØJ",IF(H270&lt;0.35,"MIDDEL","OK"))))</f>
        <v>OK</v>
      </c>
      <c r="J270" s="12" t="n">
        <f aca="false">IF(G270="","",MAX(E270,CEILING(G270/(1-Forudsætninger!$B$4)*(1+Forudsætninger!$B$3),IF(G270/(1-Forudsætninger!$B$4)*(1+Forudsætninger!$B$3)&lt;50,1,IF(G270/(1-Forudsætninger!$B$4)*(1+Forudsætninger!$B$3)&lt;200,5,10)))))</f>
        <v>29</v>
      </c>
      <c r="K270" s="15" t="n">
        <f aca="false">IF(OR(J270="",E270=0),"",J270/E270-1)</f>
        <v>0</v>
      </c>
      <c r="L270" s="15" t="n">
        <f aca="false">IF(J270="","",(J270/(1+Forudsætninger!$B$3)-G270)/(J270/(1+Forudsætninger!$B$3)))</f>
        <v>0.478448275862069</v>
      </c>
      <c r="M270" s="11" t="s">
        <v>783</v>
      </c>
      <c r="N270" s="11"/>
    </row>
    <row r="271" customFormat="false" ht="15" hidden="false" customHeight="false" outlineLevel="0" collapsed="false">
      <c r="A271" s="11" t="s">
        <v>31</v>
      </c>
      <c r="B271" s="11" t="s">
        <v>784</v>
      </c>
      <c r="C271" s="11" t="s">
        <v>785</v>
      </c>
      <c r="D271" s="11" t="s">
        <v>786</v>
      </c>
      <c r="E271" s="12" t="n">
        <v>161</v>
      </c>
      <c r="F271" s="13" t="n">
        <f aca="false">E271/(1+Forudsætninger!$B$3)</f>
        <v>128.8</v>
      </c>
      <c r="G271" s="14" t="n">
        <v>66</v>
      </c>
      <c r="H271" s="15" t="n">
        <f aca="false">IF(OR(G271="",F271=0),"",(F271-G271)/F271)</f>
        <v>0.487577639751553</v>
      </c>
      <c r="I271" s="11" t="str">
        <f aca="false">IF(G271="","UKENDT",IF(OR(E271=0,H271&lt;0),"KRITISK",IF(H271&lt;0.2,"HØJ",IF(H271&lt;0.35,"MIDDEL","OK"))))</f>
        <v>OK</v>
      </c>
      <c r="J271" s="12" t="n">
        <f aca="false">IF(G271="","",MAX(E271,CEILING(G271/(1-Forudsætninger!$B$4)*(1+Forudsætninger!$B$3),IF(G271/(1-Forudsætninger!$B$4)*(1+Forudsætninger!$B$3)&lt;50,1,IF(G271/(1-Forudsætninger!$B$4)*(1+Forudsætninger!$B$3)&lt;200,5,10)))))</f>
        <v>161</v>
      </c>
      <c r="K271" s="15" t="n">
        <f aca="false">IF(OR(J271="",E271=0),"",J271/E271-1)</f>
        <v>0</v>
      </c>
      <c r="L271" s="15" t="n">
        <f aca="false">IF(J271="","",(J271/(1+Forudsætninger!$B$3)-G271)/(J271/(1+Forudsætninger!$B$3)))</f>
        <v>0.487577639751553</v>
      </c>
      <c r="M271" s="11" t="s">
        <v>787</v>
      </c>
      <c r="N271" s="11"/>
    </row>
    <row r="272" customFormat="false" ht="15" hidden="false" customHeight="false" outlineLevel="0" collapsed="false">
      <c r="A272" s="11" t="s">
        <v>27</v>
      </c>
      <c r="B272" s="11" t="s">
        <v>736</v>
      </c>
      <c r="C272" s="11" t="s">
        <v>189</v>
      </c>
      <c r="D272" s="11" t="s">
        <v>788</v>
      </c>
      <c r="E272" s="12" t="n">
        <v>68</v>
      </c>
      <c r="F272" s="13" t="n">
        <f aca="false">E272/(1+Forudsætninger!$B$3)</f>
        <v>54.4</v>
      </c>
      <c r="G272" s="14" t="n">
        <v>27.5</v>
      </c>
      <c r="H272" s="15" t="n">
        <f aca="false">IF(OR(G272="",F272=0),"",(F272-G272)/F272)</f>
        <v>0.494485294117647</v>
      </c>
      <c r="I272" s="11" t="str">
        <f aca="false">IF(G272="","UKENDT",IF(OR(E272=0,H272&lt;0),"KRITISK",IF(H272&lt;0.2,"HØJ",IF(H272&lt;0.35,"MIDDEL","OK"))))</f>
        <v>OK</v>
      </c>
      <c r="J272" s="12" t="n">
        <f aca="false">IF(G272="","",MAX(E272,CEILING(G272/(1-Forudsætninger!$B$4)*(1+Forudsætninger!$B$3),IF(G272/(1-Forudsætninger!$B$4)*(1+Forudsætninger!$B$3)&lt;50,1,IF(G272/(1-Forudsætninger!$B$4)*(1+Forudsætninger!$B$3)&lt;200,5,10)))))</f>
        <v>68</v>
      </c>
      <c r="K272" s="15" t="n">
        <f aca="false">IF(OR(J272="",E272=0),"",J272/E272-1)</f>
        <v>0</v>
      </c>
      <c r="L272" s="15" t="n">
        <f aca="false">IF(J272="","",(J272/(1+Forudsætninger!$B$3)-G272)/(J272/(1+Forudsætninger!$B$3)))</f>
        <v>0.494485294117647</v>
      </c>
      <c r="M272" s="11" t="s">
        <v>789</v>
      </c>
      <c r="N272" s="11"/>
    </row>
    <row r="273" customFormat="false" ht="15" hidden="false" customHeight="false" outlineLevel="0" collapsed="false">
      <c r="A273" s="11" t="s">
        <v>31</v>
      </c>
      <c r="B273" s="11" t="s">
        <v>784</v>
      </c>
      <c r="C273" s="11" t="s">
        <v>790</v>
      </c>
      <c r="D273" s="11" t="s">
        <v>791</v>
      </c>
      <c r="E273" s="12" t="n">
        <v>147</v>
      </c>
      <c r="F273" s="13" t="n">
        <f aca="false">E273/(1+Forudsætninger!$B$3)</f>
        <v>117.6</v>
      </c>
      <c r="G273" s="14" t="n">
        <v>59.4</v>
      </c>
      <c r="H273" s="15" t="n">
        <f aca="false">IF(OR(G273="",F273=0),"",(F273-G273)/F273)</f>
        <v>0.494897959183673</v>
      </c>
      <c r="I273" s="11" t="str">
        <f aca="false">IF(G273="","UKENDT",IF(OR(E273=0,H273&lt;0),"KRITISK",IF(H273&lt;0.2,"HØJ",IF(H273&lt;0.35,"MIDDEL","OK"))))</f>
        <v>OK</v>
      </c>
      <c r="J273" s="12" t="n">
        <f aca="false">IF(G273="","",MAX(E273,CEILING(G273/(1-Forudsætninger!$B$4)*(1+Forudsætninger!$B$3),IF(G273/(1-Forudsætninger!$B$4)*(1+Forudsætninger!$B$3)&lt;50,1,IF(G273/(1-Forudsætninger!$B$4)*(1+Forudsætninger!$B$3)&lt;200,5,10)))))</f>
        <v>147</v>
      </c>
      <c r="K273" s="15" t="n">
        <f aca="false">IF(OR(J273="",E273=0),"",J273/E273-1)</f>
        <v>0</v>
      </c>
      <c r="L273" s="15" t="n">
        <f aca="false">IF(J273="","",(J273/(1+Forudsætninger!$B$3)-G273)/(J273/(1+Forudsætninger!$B$3)))</f>
        <v>0.494897959183673</v>
      </c>
      <c r="M273" s="11" t="s">
        <v>792</v>
      </c>
      <c r="N273" s="11"/>
    </row>
    <row r="274" customFormat="false" ht="15" hidden="false" customHeight="false" outlineLevel="0" collapsed="false">
      <c r="A274" s="11" t="s">
        <v>27</v>
      </c>
      <c r="B274" s="11" t="s">
        <v>736</v>
      </c>
      <c r="C274" s="11" t="s">
        <v>165</v>
      </c>
      <c r="D274" s="11" t="s">
        <v>793</v>
      </c>
      <c r="E274" s="12" t="n">
        <v>79</v>
      </c>
      <c r="F274" s="13" t="n">
        <f aca="false">E274/(1+Forudsætninger!$B$3)</f>
        <v>63.2</v>
      </c>
      <c r="G274" s="14" t="n">
        <v>31.9</v>
      </c>
      <c r="H274" s="15" t="n">
        <f aca="false">IF(OR(G274="",F274=0),"",(F274-G274)/F274)</f>
        <v>0.495253164556962</v>
      </c>
      <c r="I274" s="11" t="str">
        <f aca="false">IF(G274="","UKENDT",IF(OR(E274=0,H274&lt;0),"KRITISK",IF(H274&lt;0.2,"HØJ",IF(H274&lt;0.35,"MIDDEL","OK"))))</f>
        <v>OK</v>
      </c>
      <c r="J274" s="12" t="n">
        <f aca="false">IF(G274="","",MAX(E274,CEILING(G274/(1-Forudsætninger!$B$4)*(1+Forudsætninger!$B$3),IF(G274/(1-Forudsætninger!$B$4)*(1+Forudsætninger!$B$3)&lt;50,1,IF(G274/(1-Forudsætninger!$B$4)*(1+Forudsætninger!$B$3)&lt;200,5,10)))))</f>
        <v>79</v>
      </c>
      <c r="K274" s="15" t="n">
        <f aca="false">IF(OR(J274="",E274=0),"",J274/E274-1)</f>
        <v>0</v>
      </c>
      <c r="L274" s="15" t="n">
        <f aca="false">IF(J274="","",(J274/(1+Forudsætninger!$B$3)-G274)/(J274/(1+Forudsætninger!$B$3)))</f>
        <v>0.495253164556962</v>
      </c>
      <c r="M274" s="11" t="s">
        <v>794</v>
      </c>
      <c r="N274" s="11"/>
    </row>
    <row r="275" customFormat="false" ht="15" hidden="false" customHeight="false" outlineLevel="0" collapsed="false">
      <c r="A275" s="11" t="s">
        <v>31</v>
      </c>
      <c r="B275" s="11" t="s">
        <v>784</v>
      </c>
      <c r="C275" s="11" t="s">
        <v>795</v>
      </c>
      <c r="D275" s="11" t="s">
        <v>796</v>
      </c>
      <c r="E275" s="12" t="n">
        <v>142</v>
      </c>
      <c r="F275" s="13" t="n">
        <f aca="false">E275/(1+Forudsætninger!$B$3)</f>
        <v>113.6</v>
      </c>
      <c r="G275" s="14" t="n">
        <v>55</v>
      </c>
      <c r="H275" s="15" t="n">
        <f aca="false">IF(OR(G275="",F275=0),"",(F275-G275)/F275)</f>
        <v>0.515845070422535</v>
      </c>
      <c r="I275" s="11" t="str">
        <f aca="false">IF(G275="","UKENDT",IF(OR(E275=0,H275&lt;0),"KRITISK",IF(H275&lt;0.2,"HØJ",IF(H275&lt;0.35,"MIDDEL","OK"))))</f>
        <v>OK</v>
      </c>
      <c r="J275" s="12" t="n">
        <f aca="false">IF(G275="","",MAX(E275,CEILING(G275/(1-Forudsætninger!$B$4)*(1+Forudsætninger!$B$3),IF(G275/(1-Forudsætninger!$B$4)*(1+Forudsætninger!$B$3)&lt;50,1,IF(G275/(1-Forudsætninger!$B$4)*(1+Forudsætninger!$B$3)&lt;200,5,10)))))</f>
        <v>142</v>
      </c>
      <c r="K275" s="15" t="n">
        <f aca="false">IF(OR(J275="",E275=0),"",J275/E275-1)</f>
        <v>0</v>
      </c>
      <c r="L275" s="15" t="n">
        <f aca="false">IF(J275="","",(J275/(1+Forudsætninger!$B$3)-G275)/(J275/(1+Forudsætninger!$B$3)))</f>
        <v>0.515845070422535</v>
      </c>
      <c r="M275" s="11" t="s">
        <v>797</v>
      </c>
      <c r="N275" s="11"/>
    </row>
    <row r="276" customFormat="false" ht="15" hidden="false" customHeight="false" outlineLevel="0" collapsed="false">
      <c r="A276" s="11" t="s">
        <v>31</v>
      </c>
      <c r="B276" s="11" t="s">
        <v>784</v>
      </c>
      <c r="C276" s="11" t="s">
        <v>54</v>
      </c>
      <c r="D276" s="11" t="s">
        <v>798</v>
      </c>
      <c r="E276" s="12" t="n">
        <v>132</v>
      </c>
      <c r="F276" s="13" t="n">
        <f aca="false">E276/(1+Forudsætninger!$B$3)</f>
        <v>105.6</v>
      </c>
      <c r="G276" s="14" t="n">
        <v>50.6</v>
      </c>
      <c r="H276" s="15" t="n">
        <f aca="false">IF(OR(G276="",F276=0),"",(F276-G276)/F276)</f>
        <v>0.520833333333333</v>
      </c>
      <c r="I276" s="11" t="str">
        <f aca="false">IF(G276="","UKENDT",IF(OR(E276=0,H276&lt;0),"KRITISK",IF(H276&lt;0.2,"HØJ",IF(H276&lt;0.35,"MIDDEL","OK"))))</f>
        <v>OK</v>
      </c>
      <c r="J276" s="12" t="n">
        <f aca="false">IF(G276="","",MAX(E276,CEILING(G276/(1-Forudsætninger!$B$4)*(1+Forudsætninger!$B$3),IF(G276/(1-Forudsætninger!$B$4)*(1+Forudsætninger!$B$3)&lt;50,1,IF(G276/(1-Forudsætninger!$B$4)*(1+Forudsætninger!$B$3)&lt;200,5,10)))))</f>
        <v>132</v>
      </c>
      <c r="K276" s="15" t="n">
        <f aca="false">IF(OR(J276="",E276=0),"",J276/E276-1)</f>
        <v>0</v>
      </c>
      <c r="L276" s="15" t="n">
        <f aca="false">IF(J276="","",(J276/(1+Forudsætninger!$B$3)-G276)/(J276/(1+Forudsætninger!$B$3)))</f>
        <v>0.520833333333333</v>
      </c>
      <c r="M276" s="11" t="s">
        <v>799</v>
      </c>
      <c r="N276" s="11"/>
    </row>
    <row r="277" customFormat="false" ht="15" hidden="false" customHeight="false" outlineLevel="0" collapsed="false">
      <c r="A277" s="11" t="s">
        <v>31</v>
      </c>
      <c r="B277" s="11" t="s">
        <v>784</v>
      </c>
      <c r="C277" s="11" t="s">
        <v>145</v>
      </c>
      <c r="D277" s="11" t="s">
        <v>800</v>
      </c>
      <c r="E277" s="12" t="n">
        <v>90</v>
      </c>
      <c r="F277" s="13" t="n">
        <f aca="false">E277/(1+Forudsætninger!$B$3)</f>
        <v>72</v>
      </c>
      <c r="G277" s="14" t="n">
        <v>34.1</v>
      </c>
      <c r="H277" s="15" t="n">
        <f aca="false">IF(OR(G277="",F277=0),"",(F277-G277)/F277)</f>
        <v>0.526388888888889</v>
      </c>
      <c r="I277" s="11" t="str">
        <f aca="false">IF(G277="","UKENDT",IF(OR(E277=0,H277&lt;0),"KRITISK",IF(H277&lt;0.2,"HØJ",IF(H277&lt;0.35,"MIDDEL","OK"))))</f>
        <v>OK</v>
      </c>
      <c r="J277" s="12" t="n">
        <f aca="false">IF(G277="","",MAX(E277,CEILING(G277/(1-Forudsætninger!$B$4)*(1+Forudsætninger!$B$3),IF(G277/(1-Forudsætninger!$B$4)*(1+Forudsætninger!$B$3)&lt;50,1,IF(G277/(1-Forudsætninger!$B$4)*(1+Forudsætninger!$B$3)&lt;200,5,10)))))</f>
        <v>90</v>
      </c>
      <c r="K277" s="15" t="n">
        <f aca="false">IF(OR(J277="",E277=0),"",J277/E277-1)</f>
        <v>0</v>
      </c>
      <c r="L277" s="15" t="n">
        <f aca="false">IF(J277="","",(J277/(1+Forudsætninger!$B$3)-G277)/(J277/(1+Forudsætninger!$B$3)))</f>
        <v>0.526388888888889</v>
      </c>
      <c r="M277" s="11" t="s">
        <v>801</v>
      </c>
      <c r="N277" s="11"/>
    </row>
    <row r="278" customFormat="false" ht="15" hidden="false" customHeight="false" outlineLevel="0" collapsed="false">
      <c r="A278" s="11" t="s">
        <v>29</v>
      </c>
      <c r="B278" s="11" t="s">
        <v>729</v>
      </c>
      <c r="C278" s="11" t="s">
        <v>209</v>
      </c>
      <c r="D278" s="11" t="s">
        <v>802</v>
      </c>
      <c r="E278" s="12" t="n">
        <v>41</v>
      </c>
      <c r="F278" s="13" t="n">
        <f aca="false">E278/(1+Forudsætninger!$B$3)</f>
        <v>32.8</v>
      </c>
      <c r="G278" s="14" t="n">
        <v>15.4</v>
      </c>
      <c r="H278" s="15" t="n">
        <f aca="false">IF(OR(G278="",F278=0),"",(F278-G278)/F278)</f>
        <v>0.530487804878049</v>
      </c>
      <c r="I278" s="11" t="str">
        <f aca="false">IF(G278="","UKENDT",IF(OR(E278=0,H278&lt;0),"KRITISK",IF(H278&lt;0.2,"HØJ",IF(H278&lt;0.35,"MIDDEL","OK"))))</f>
        <v>OK</v>
      </c>
      <c r="J278" s="12" t="n">
        <f aca="false">IF(G278="","",MAX(E278,CEILING(G278/(1-Forudsætninger!$B$4)*(1+Forudsætninger!$B$3),IF(G278/(1-Forudsætninger!$B$4)*(1+Forudsætninger!$B$3)&lt;50,1,IF(G278/(1-Forudsætninger!$B$4)*(1+Forudsætninger!$B$3)&lt;200,5,10)))))</f>
        <v>41</v>
      </c>
      <c r="K278" s="15" t="n">
        <f aca="false">IF(OR(J278="",E278=0),"",J278/E278-1)</f>
        <v>0</v>
      </c>
      <c r="L278" s="15" t="n">
        <f aca="false">IF(J278="","",(J278/(1+Forudsætninger!$B$3)-G278)/(J278/(1+Forudsætninger!$B$3)))</f>
        <v>0.530487804878049</v>
      </c>
      <c r="M278" s="11" t="s">
        <v>803</v>
      </c>
      <c r="N278" s="11"/>
    </row>
    <row r="279" customFormat="false" ht="15" hidden="false" customHeight="false" outlineLevel="0" collapsed="false">
      <c r="A279" s="11" t="s">
        <v>29</v>
      </c>
      <c r="B279" s="11" t="s">
        <v>733</v>
      </c>
      <c r="C279" s="11" t="s">
        <v>209</v>
      </c>
      <c r="D279" s="11" t="s">
        <v>804</v>
      </c>
      <c r="E279" s="12" t="n">
        <v>41</v>
      </c>
      <c r="F279" s="13" t="n">
        <f aca="false">E279/(1+Forudsætninger!$B$3)</f>
        <v>32.8</v>
      </c>
      <c r="G279" s="14" t="n">
        <v>15.4</v>
      </c>
      <c r="H279" s="15" t="n">
        <f aca="false">IF(OR(G279="",F279=0),"",(F279-G279)/F279)</f>
        <v>0.530487804878049</v>
      </c>
      <c r="I279" s="11" t="str">
        <f aca="false">IF(G279="","UKENDT",IF(OR(E279=0,H279&lt;0),"KRITISK",IF(H279&lt;0.2,"HØJ",IF(H279&lt;0.35,"MIDDEL","OK"))))</f>
        <v>OK</v>
      </c>
      <c r="J279" s="12" t="n">
        <f aca="false">IF(G279="","",MAX(E279,CEILING(G279/(1-Forudsætninger!$B$4)*(1+Forudsætninger!$B$3),IF(G279/(1-Forudsætninger!$B$4)*(1+Forudsætninger!$B$3)&lt;50,1,IF(G279/(1-Forudsætninger!$B$4)*(1+Forudsætninger!$B$3)&lt;200,5,10)))))</f>
        <v>41</v>
      </c>
      <c r="K279" s="15" t="n">
        <f aca="false">IF(OR(J279="",E279=0),"",J279/E279-1)</f>
        <v>0</v>
      </c>
      <c r="L279" s="15" t="n">
        <f aca="false">IF(J279="","",(J279/(1+Forudsætninger!$B$3)-G279)/(J279/(1+Forudsætninger!$B$3)))</f>
        <v>0.530487804878049</v>
      </c>
      <c r="M279" s="11" t="s">
        <v>805</v>
      </c>
      <c r="N279" s="11"/>
    </row>
    <row r="280" customFormat="false" ht="15" hidden="false" customHeight="false" outlineLevel="0" collapsed="false">
      <c r="A280" s="11" t="s">
        <v>28</v>
      </c>
      <c r="B280" s="11" t="s">
        <v>540</v>
      </c>
      <c r="C280" s="11" t="s">
        <v>806</v>
      </c>
      <c r="D280" s="11" t="s">
        <v>807</v>
      </c>
      <c r="E280" s="12" t="n">
        <v>48</v>
      </c>
      <c r="F280" s="13" t="n">
        <f aca="false">E280/(1+Forudsætninger!$B$3)</f>
        <v>38.4</v>
      </c>
      <c r="G280" s="14" t="n">
        <v>17.49</v>
      </c>
      <c r="H280" s="15" t="n">
        <f aca="false">IF(OR(G280="",F280=0),"",(F280-G280)/F280)</f>
        <v>0.54453125</v>
      </c>
      <c r="I280" s="11" t="str">
        <f aca="false">IF(G280="","UKENDT",IF(OR(E280=0,H280&lt;0),"KRITISK",IF(H280&lt;0.2,"HØJ",IF(H280&lt;0.35,"MIDDEL","OK"))))</f>
        <v>OK</v>
      </c>
      <c r="J280" s="12" t="n">
        <f aca="false">IF(G280="","",MAX(E280,CEILING(G280/(1-Forudsætninger!$B$4)*(1+Forudsætninger!$B$3),IF(G280/(1-Forudsætninger!$B$4)*(1+Forudsætninger!$B$3)&lt;50,1,IF(G280/(1-Forudsætninger!$B$4)*(1+Forudsætninger!$B$3)&lt;200,5,10)))))</f>
        <v>48</v>
      </c>
      <c r="K280" s="15" t="n">
        <f aca="false">IF(OR(J280="",E280=0),"",J280/E280-1)</f>
        <v>0</v>
      </c>
      <c r="L280" s="15" t="n">
        <f aca="false">IF(J280="","",(J280/(1+Forudsætninger!$B$3)-G280)/(J280/(1+Forudsætninger!$B$3)))</f>
        <v>0.54453125</v>
      </c>
      <c r="M280" s="11" t="s">
        <v>808</v>
      </c>
      <c r="N280" s="11"/>
    </row>
    <row r="281" customFormat="false" ht="15" hidden="false" customHeight="false" outlineLevel="0" collapsed="false">
      <c r="A281" s="11" t="s">
        <v>31</v>
      </c>
      <c r="B281" s="11" t="s">
        <v>784</v>
      </c>
      <c r="C281" s="11" t="s">
        <v>78</v>
      </c>
      <c r="D281" s="11" t="s">
        <v>809</v>
      </c>
      <c r="E281" s="12" t="n">
        <v>76</v>
      </c>
      <c r="F281" s="13" t="n">
        <f aca="false">E281/(1+Forudsætninger!$B$3)</f>
        <v>60.8</v>
      </c>
      <c r="G281" s="14" t="n">
        <v>27.5</v>
      </c>
      <c r="H281" s="15" t="n">
        <f aca="false">IF(OR(G281="",F281=0),"",(F281-G281)/F281)</f>
        <v>0.547697368421053</v>
      </c>
      <c r="I281" s="11" t="str">
        <f aca="false">IF(G281="","UKENDT",IF(OR(E281=0,H281&lt;0),"KRITISK",IF(H281&lt;0.2,"HØJ",IF(H281&lt;0.35,"MIDDEL","OK"))))</f>
        <v>OK</v>
      </c>
      <c r="J281" s="12" t="n">
        <f aca="false">IF(G281="","",MAX(E281,CEILING(G281/(1-Forudsætninger!$B$4)*(1+Forudsætninger!$B$3),IF(G281/(1-Forudsætninger!$B$4)*(1+Forudsætninger!$B$3)&lt;50,1,IF(G281/(1-Forudsætninger!$B$4)*(1+Forudsætninger!$B$3)&lt;200,5,10)))))</f>
        <v>76</v>
      </c>
      <c r="K281" s="15" t="n">
        <f aca="false">IF(OR(J281="",E281=0),"",J281/E281-1)</f>
        <v>0</v>
      </c>
      <c r="L281" s="15" t="n">
        <f aca="false">IF(J281="","",(J281/(1+Forudsætninger!$B$3)-G281)/(J281/(1+Forudsætninger!$B$3)))</f>
        <v>0.547697368421053</v>
      </c>
      <c r="M281" s="11" t="s">
        <v>810</v>
      </c>
      <c r="N281" s="11"/>
    </row>
    <row r="282" customFormat="false" ht="15" hidden="false" customHeight="false" outlineLevel="0" collapsed="false">
      <c r="A282" s="11" t="s">
        <v>31</v>
      </c>
      <c r="B282" s="11" t="s">
        <v>784</v>
      </c>
      <c r="C282" s="11" t="s">
        <v>68</v>
      </c>
      <c r="D282" s="11" t="s">
        <v>811</v>
      </c>
      <c r="E282" s="12" t="n">
        <v>128</v>
      </c>
      <c r="F282" s="13" t="n">
        <f aca="false">E282/(1+Forudsætninger!$B$3)</f>
        <v>102.4</v>
      </c>
      <c r="G282" s="14" t="n">
        <v>46.2</v>
      </c>
      <c r="H282" s="15" t="n">
        <f aca="false">IF(OR(G282="",F282=0),"",(F282-G282)/F282)</f>
        <v>0.548828125</v>
      </c>
      <c r="I282" s="11" t="str">
        <f aca="false">IF(G282="","UKENDT",IF(OR(E282=0,H282&lt;0),"KRITISK",IF(H282&lt;0.2,"HØJ",IF(H282&lt;0.35,"MIDDEL","OK"))))</f>
        <v>OK</v>
      </c>
      <c r="J282" s="12" t="n">
        <f aca="false">IF(G282="","",MAX(E282,CEILING(G282/(1-Forudsætninger!$B$4)*(1+Forudsætninger!$B$3),IF(G282/(1-Forudsætninger!$B$4)*(1+Forudsætninger!$B$3)&lt;50,1,IF(G282/(1-Forudsætninger!$B$4)*(1+Forudsætninger!$B$3)&lt;200,5,10)))))</f>
        <v>128</v>
      </c>
      <c r="K282" s="15" t="n">
        <f aca="false">IF(OR(J282="",E282=0),"",J282/E282-1)</f>
        <v>0</v>
      </c>
      <c r="L282" s="15" t="n">
        <f aca="false">IF(J282="","",(J282/(1+Forudsætninger!$B$3)-G282)/(J282/(1+Forudsætninger!$B$3)))</f>
        <v>0.548828125</v>
      </c>
      <c r="M282" s="11" t="s">
        <v>812</v>
      </c>
      <c r="N282" s="11"/>
    </row>
    <row r="283" customFormat="false" ht="15" hidden="false" customHeight="false" outlineLevel="0" collapsed="false">
      <c r="A283" s="11" t="s">
        <v>23</v>
      </c>
      <c r="B283" s="11" t="s">
        <v>813</v>
      </c>
      <c r="C283" s="11" t="s">
        <v>58</v>
      </c>
      <c r="D283" s="11" t="s">
        <v>814</v>
      </c>
      <c r="E283" s="12" t="n">
        <v>113</v>
      </c>
      <c r="F283" s="13" t="n">
        <f aca="false">E283/(1+Forudsætninger!$B$3)</f>
        <v>90.4</v>
      </c>
      <c r="G283" s="14" t="n">
        <v>40.7</v>
      </c>
      <c r="H283" s="15" t="n">
        <f aca="false">IF(OR(G283="",F283=0),"",(F283-G283)/F283)</f>
        <v>0.549778761061947</v>
      </c>
      <c r="I283" s="11" t="str">
        <f aca="false">IF(G283="","UKENDT",IF(OR(E283=0,H283&lt;0),"KRITISK",IF(H283&lt;0.2,"HØJ",IF(H283&lt;0.35,"MIDDEL","OK"))))</f>
        <v>OK</v>
      </c>
      <c r="J283" s="12" t="n">
        <f aca="false">IF(G283="","",MAX(E283,CEILING(G283/(1-Forudsætninger!$B$4)*(1+Forudsætninger!$B$3),IF(G283/(1-Forudsætninger!$B$4)*(1+Forudsætninger!$B$3)&lt;50,1,IF(G283/(1-Forudsætninger!$B$4)*(1+Forudsætninger!$B$3)&lt;200,5,10)))))</f>
        <v>113</v>
      </c>
      <c r="K283" s="15" t="n">
        <f aca="false">IF(OR(J283="",E283=0),"",J283/E283-1)</f>
        <v>0</v>
      </c>
      <c r="L283" s="15" t="n">
        <f aca="false">IF(J283="","",(J283/(1+Forudsætninger!$B$3)-G283)/(J283/(1+Forudsætninger!$B$3)))</f>
        <v>0.549778761061947</v>
      </c>
      <c r="M283" s="11" t="s">
        <v>815</v>
      </c>
      <c r="N283" s="11"/>
    </row>
    <row r="284" customFormat="false" ht="15" hidden="false" customHeight="false" outlineLevel="0" collapsed="false">
      <c r="A284" s="11" t="s">
        <v>31</v>
      </c>
      <c r="B284" s="11" t="s">
        <v>784</v>
      </c>
      <c r="C284" s="11" t="s">
        <v>51</v>
      </c>
      <c r="D284" s="11" t="s">
        <v>816</v>
      </c>
      <c r="E284" s="12" t="n">
        <v>104</v>
      </c>
      <c r="F284" s="13" t="n">
        <f aca="false">E284/(1+Forudsætninger!$B$3)</f>
        <v>83.2</v>
      </c>
      <c r="G284" s="14" t="n">
        <v>37.4</v>
      </c>
      <c r="H284" s="15" t="n">
        <f aca="false">IF(OR(G284="",F284=0),"",(F284-G284)/F284)</f>
        <v>0.550480769230769</v>
      </c>
      <c r="I284" s="11" t="str">
        <f aca="false">IF(G284="","UKENDT",IF(OR(E284=0,H284&lt;0),"KRITISK",IF(H284&lt;0.2,"HØJ",IF(H284&lt;0.35,"MIDDEL","OK"))))</f>
        <v>OK</v>
      </c>
      <c r="J284" s="12" t="n">
        <f aca="false">IF(G284="","",MAX(E284,CEILING(G284/(1-Forudsætninger!$B$4)*(1+Forudsætninger!$B$3),IF(G284/(1-Forudsætninger!$B$4)*(1+Forudsætninger!$B$3)&lt;50,1,IF(G284/(1-Forudsætninger!$B$4)*(1+Forudsætninger!$B$3)&lt;200,5,10)))))</f>
        <v>104</v>
      </c>
      <c r="K284" s="15" t="n">
        <f aca="false">IF(OR(J284="",E284=0),"",J284/E284-1)</f>
        <v>0</v>
      </c>
      <c r="L284" s="15" t="n">
        <f aca="false">IF(J284="","",(J284/(1+Forudsætninger!$B$3)-G284)/(J284/(1+Forudsætninger!$B$3)))</f>
        <v>0.550480769230769</v>
      </c>
      <c r="M284" s="11" t="s">
        <v>817</v>
      </c>
      <c r="N284" s="11"/>
    </row>
    <row r="285" customFormat="false" ht="15" hidden="false" customHeight="false" outlineLevel="0" collapsed="false">
      <c r="A285" s="11" t="s">
        <v>31</v>
      </c>
      <c r="B285" s="11" t="s">
        <v>784</v>
      </c>
      <c r="C285" s="11" t="s">
        <v>295</v>
      </c>
      <c r="D285" s="11" t="s">
        <v>818</v>
      </c>
      <c r="E285" s="12" t="n">
        <v>118</v>
      </c>
      <c r="F285" s="13" t="n">
        <f aca="false">E285/(1+Forudsætninger!$B$3)</f>
        <v>94.4</v>
      </c>
      <c r="G285" s="14" t="n">
        <v>41.8</v>
      </c>
      <c r="H285" s="15" t="n">
        <f aca="false">IF(OR(G285="",F285=0),"",(F285-G285)/F285)</f>
        <v>0.557203389830509</v>
      </c>
      <c r="I285" s="11" t="str">
        <f aca="false">IF(G285="","UKENDT",IF(OR(E285=0,H285&lt;0),"KRITISK",IF(H285&lt;0.2,"HØJ",IF(H285&lt;0.35,"MIDDEL","OK"))))</f>
        <v>OK</v>
      </c>
      <c r="J285" s="12" t="n">
        <f aca="false">IF(G285="","",MAX(E285,CEILING(G285/(1-Forudsætninger!$B$4)*(1+Forudsætninger!$B$3),IF(G285/(1-Forudsætninger!$B$4)*(1+Forudsætninger!$B$3)&lt;50,1,IF(G285/(1-Forudsætninger!$B$4)*(1+Forudsætninger!$B$3)&lt;200,5,10)))))</f>
        <v>118</v>
      </c>
      <c r="K285" s="15" t="n">
        <f aca="false">IF(OR(J285="",E285=0),"",J285/E285-1)</f>
        <v>0</v>
      </c>
      <c r="L285" s="15" t="n">
        <f aca="false">IF(J285="","",(J285/(1+Forudsætninger!$B$3)-G285)/(J285/(1+Forudsætninger!$B$3)))</f>
        <v>0.557203389830509</v>
      </c>
      <c r="M285" s="11" t="s">
        <v>819</v>
      </c>
      <c r="N285" s="11"/>
    </row>
    <row r="286" customFormat="false" ht="15" hidden="false" customHeight="false" outlineLevel="0" collapsed="false">
      <c r="A286" s="11" t="s">
        <v>29</v>
      </c>
      <c r="B286" s="11" t="s">
        <v>820</v>
      </c>
      <c r="C286" s="11" t="s">
        <v>192</v>
      </c>
      <c r="D286" s="11" t="s">
        <v>821</v>
      </c>
      <c r="E286" s="12" t="n">
        <v>321</v>
      </c>
      <c r="F286" s="13" t="n">
        <f aca="false">E286/(1+Forudsætninger!$B$3)</f>
        <v>256.8</v>
      </c>
      <c r="G286" s="14" t="n">
        <v>108.9</v>
      </c>
      <c r="H286" s="15" t="n">
        <f aca="false">IF(OR(G286="",F286=0),"",(F286-G286)/F286)</f>
        <v>0.575934579439252</v>
      </c>
      <c r="I286" s="11" t="str">
        <f aca="false">IF(G286="","UKENDT",IF(OR(E286=0,H286&lt;0),"KRITISK",IF(H286&lt;0.2,"HØJ",IF(H286&lt;0.35,"MIDDEL","OK"))))</f>
        <v>OK</v>
      </c>
      <c r="J286" s="12" t="n">
        <f aca="false">IF(G286="","",MAX(E286,CEILING(G286/(1-Forudsætninger!$B$4)*(1+Forudsætninger!$B$3),IF(G286/(1-Forudsætninger!$B$4)*(1+Forudsætninger!$B$3)&lt;50,1,IF(G286/(1-Forudsætninger!$B$4)*(1+Forudsætninger!$B$3)&lt;200,5,10)))))</f>
        <v>321</v>
      </c>
      <c r="K286" s="15" t="n">
        <f aca="false">IF(OR(J286="",E286=0),"",J286/E286-1)</f>
        <v>0</v>
      </c>
      <c r="L286" s="15" t="n">
        <f aca="false">IF(J286="","",(J286/(1+Forudsætninger!$B$3)-G286)/(J286/(1+Forudsætninger!$B$3)))</f>
        <v>0.575934579439252</v>
      </c>
      <c r="M286" s="11" t="s">
        <v>822</v>
      </c>
      <c r="N286" s="11"/>
    </row>
    <row r="287" customFormat="false" ht="15" hidden="false" customHeight="false" outlineLevel="0" collapsed="false">
      <c r="A287" s="11" t="s">
        <v>29</v>
      </c>
      <c r="B287" s="11" t="s">
        <v>291</v>
      </c>
      <c r="C287" s="11" t="s">
        <v>158</v>
      </c>
      <c r="D287" s="11" t="s">
        <v>823</v>
      </c>
      <c r="E287" s="12" t="n">
        <v>118</v>
      </c>
      <c r="F287" s="13" t="n">
        <f aca="false">E287/(1+Forudsætninger!$B$3)</f>
        <v>94.4</v>
      </c>
      <c r="G287" s="14" t="n">
        <v>38.5</v>
      </c>
      <c r="H287" s="15" t="n">
        <f aca="false">IF(OR(G287="",F287=0),"",(F287-G287)/F287)</f>
        <v>0.592161016949153</v>
      </c>
      <c r="I287" s="11" t="str">
        <f aca="false">IF(G287="","UKENDT",IF(OR(E287=0,H287&lt;0),"KRITISK",IF(H287&lt;0.2,"HØJ",IF(H287&lt;0.35,"MIDDEL","OK"))))</f>
        <v>OK</v>
      </c>
      <c r="J287" s="12" t="n">
        <f aca="false">IF(G287="","",MAX(E287,CEILING(G287/(1-Forudsætninger!$B$4)*(1+Forudsætninger!$B$3),IF(G287/(1-Forudsætninger!$B$4)*(1+Forudsætninger!$B$3)&lt;50,1,IF(G287/(1-Forudsætninger!$B$4)*(1+Forudsætninger!$B$3)&lt;200,5,10)))))</f>
        <v>118</v>
      </c>
      <c r="K287" s="15" t="n">
        <f aca="false">IF(OR(J287="",E287=0),"",J287/E287-1)</f>
        <v>0</v>
      </c>
      <c r="L287" s="15" t="n">
        <f aca="false">IF(J287="","",(J287/(1+Forudsætninger!$B$3)-G287)/(J287/(1+Forudsætninger!$B$3)))</f>
        <v>0.592161016949153</v>
      </c>
      <c r="M287" s="11" t="s">
        <v>824</v>
      </c>
      <c r="N287" s="11"/>
    </row>
    <row r="288" customFormat="false" ht="15" hidden="false" customHeight="false" outlineLevel="0" collapsed="false">
      <c r="A288" s="11" t="s">
        <v>24</v>
      </c>
      <c r="B288" s="11" t="s">
        <v>825</v>
      </c>
      <c r="C288" s="11" t="s">
        <v>795</v>
      </c>
      <c r="D288" s="11" t="s">
        <v>826</v>
      </c>
      <c r="E288" s="12" t="n">
        <v>540</v>
      </c>
      <c r="F288" s="13" t="n">
        <f aca="false">E288/(1+Forudsætninger!$B$3)</f>
        <v>432</v>
      </c>
      <c r="G288" s="14"/>
      <c r="H288" s="15" t="str">
        <f aca="false">IF(OR(G288="",F288=0),"",(F288-G288)/F288)</f>
        <v/>
      </c>
      <c r="I288" s="11" t="str">
        <f aca="false">IF(G288="","UKENDT",IF(OR(E288=0,H288&lt;0),"KRITISK",IF(H288&lt;0.2,"HØJ",IF(H288&lt;0.35,"MIDDEL","OK"))))</f>
        <v>UKENDT</v>
      </c>
      <c r="J288" s="12" t="str">
        <f aca="false">IF(G288="","",MAX(E288,CEILING(G288/(1-Forudsætninger!$B$4)*(1+Forudsætninger!$B$3),IF(G288/(1-Forudsætninger!$B$4)*(1+Forudsætninger!$B$3)&lt;50,1,IF(G288/(1-Forudsætninger!$B$4)*(1+Forudsætninger!$B$3)&lt;200,5,10)))))</f>
        <v/>
      </c>
      <c r="K288" s="15" t="str">
        <f aca="false">IF(OR(J288="",E288=0),"",J288/E288-1)</f>
        <v/>
      </c>
      <c r="L288" s="15" t="str">
        <f aca="false">IF(J288="","",(J288/(1+Forudsætninger!$B$3)-G288)/(J288/(1+Forudsætninger!$B$3)))</f>
        <v/>
      </c>
      <c r="M288" s="11"/>
      <c r="N288" s="11"/>
    </row>
    <row r="289" customFormat="false" ht="15" hidden="false" customHeight="false" outlineLevel="0" collapsed="false">
      <c r="A289" s="11" t="s">
        <v>32</v>
      </c>
      <c r="B289" s="11" t="s">
        <v>827</v>
      </c>
      <c r="C289" s="11" t="s">
        <v>828</v>
      </c>
      <c r="D289" s="11" t="s">
        <v>829</v>
      </c>
      <c r="E289" s="12" t="n">
        <v>360</v>
      </c>
      <c r="F289" s="13" t="n">
        <f aca="false">E289/(1+Forudsætninger!$B$3)</f>
        <v>288</v>
      </c>
      <c r="G289" s="14"/>
      <c r="H289" s="15" t="str">
        <f aca="false">IF(OR(G289="",F289=0),"",(F289-G289)/F289)</f>
        <v/>
      </c>
      <c r="I289" s="11" t="str">
        <f aca="false">IF(G289="","UKENDT",IF(OR(E289=0,H289&lt;0),"KRITISK",IF(H289&lt;0.2,"HØJ",IF(H289&lt;0.35,"MIDDEL","OK"))))</f>
        <v>UKENDT</v>
      </c>
      <c r="J289" s="12" t="str">
        <f aca="false">IF(G289="","",MAX(E289,CEILING(G289/(1-Forudsætninger!$B$4)*(1+Forudsætninger!$B$3),IF(G289/(1-Forudsætninger!$B$4)*(1+Forudsætninger!$B$3)&lt;50,1,IF(G289/(1-Forudsætninger!$B$4)*(1+Forudsætninger!$B$3)&lt;200,5,10)))))</f>
        <v/>
      </c>
      <c r="K289" s="15" t="str">
        <f aca="false">IF(OR(J289="",E289=0),"",J289/E289-1)</f>
        <v/>
      </c>
      <c r="L289" s="15" t="str">
        <f aca="false">IF(J289="","",(J289/(1+Forudsætninger!$B$3)-G289)/(J289/(1+Forudsætninger!$B$3)))</f>
        <v/>
      </c>
      <c r="M289" s="11"/>
      <c r="N289" s="11"/>
    </row>
    <row r="290" customFormat="false" ht="15" hidden="false" customHeight="false" outlineLevel="0" collapsed="false">
      <c r="A290" s="11" t="s">
        <v>24</v>
      </c>
      <c r="B290" s="11" t="s">
        <v>50</v>
      </c>
      <c r="C290" s="11" t="s">
        <v>295</v>
      </c>
      <c r="D290" s="11" t="s">
        <v>830</v>
      </c>
      <c r="E290" s="12" t="n">
        <v>28</v>
      </c>
      <c r="F290" s="13" t="n">
        <f aca="false">E290/(1+Forudsætninger!$B$3)</f>
        <v>22.4</v>
      </c>
      <c r="G290" s="14"/>
      <c r="H290" s="15" t="str">
        <f aca="false">IF(OR(G290="",F290=0),"",(F290-G290)/F290)</f>
        <v/>
      </c>
      <c r="I290" s="11" t="str">
        <f aca="false">IF(G290="","UKENDT",IF(OR(E290=0,H290&lt;0),"KRITISK",IF(H290&lt;0.2,"HØJ",IF(H290&lt;0.35,"MIDDEL","OK"))))</f>
        <v>UKENDT</v>
      </c>
      <c r="J290" s="12" t="str">
        <f aca="false">IF(G290="","",MAX(E290,CEILING(G290/(1-Forudsætninger!$B$4)*(1+Forudsætninger!$B$3),IF(G290/(1-Forudsætninger!$B$4)*(1+Forudsætninger!$B$3)&lt;50,1,IF(G290/(1-Forudsætninger!$B$4)*(1+Forudsætninger!$B$3)&lt;200,5,10)))))</f>
        <v/>
      </c>
      <c r="K290" s="15" t="str">
        <f aca="false">IF(OR(J290="",E290=0),"",J290/E290-1)</f>
        <v/>
      </c>
      <c r="L290" s="15" t="str">
        <f aca="false">IF(J290="","",(J290/(1+Forudsætninger!$B$3)-G290)/(J290/(1+Forudsætninger!$B$3)))</f>
        <v/>
      </c>
      <c r="M290" s="11"/>
      <c r="N290" s="11"/>
    </row>
    <row r="291" customFormat="false" ht="15" hidden="false" customHeight="false" outlineLevel="0" collapsed="false">
      <c r="A291" s="11" t="s">
        <v>33</v>
      </c>
      <c r="B291" s="11" t="s">
        <v>831</v>
      </c>
      <c r="C291" s="11" t="s">
        <v>192</v>
      </c>
      <c r="D291" s="11" t="s">
        <v>832</v>
      </c>
      <c r="E291" s="12" t="n">
        <v>89</v>
      </c>
      <c r="F291" s="13" t="n">
        <f aca="false">E291/(1+Forudsætninger!$B$3)</f>
        <v>71.2</v>
      </c>
      <c r="G291" s="14"/>
      <c r="H291" s="15" t="str">
        <f aca="false">IF(OR(G291="",F291=0),"",(F291-G291)/F291)</f>
        <v/>
      </c>
      <c r="I291" s="11" t="str">
        <f aca="false">IF(G291="","UKENDT",IF(OR(E291=0,H291&lt;0),"KRITISK",IF(H291&lt;0.2,"HØJ",IF(H291&lt;0.35,"MIDDEL","OK"))))</f>
        <v>UKENDT</v>
      </c>
      <c r="J291" s="12" t="str">
        <f aca="false">IF(G291="","",MAX(E291,CEILING(G291/(1-Forudsætninger!$B$4)*(1+Forudsætninger!$B$3),IF(G291/(1-Forudsætninger!$B$4)*(1+Forudsætninger!$B$3)&lt;50,1,IF(G291/(1-Forudsætninger!$B$4)*(1+Forudsætninger!$B$3)&lt;200,5,10)))))</f>
        <v/>
      </c>
      <c r="K291" s="15" t="str">
        <f aca="false">IF(OR(J291="",E291=0),"",J291/E291-1)</f>
        <v/>
      </c>
      <c r="L291" s="15" t="str">
        <f aca="false">IF(J291="","",(J291/(1+Forudsætninger!$B$3)-G291)/(J291/(1+Forudsætninger!$B$3)))</f>
        <v/>
      </c>
      <c r="M291" s="11"/>
      <c r="N291" s="11"/>
    </row>
    <row r="292" customFormat="false" ht="15" hidden="false" customHeight="false" outlineLevel="0" collapsed="false">
      <c r="A292" s="11" t="s">
        <v>24</v>
      </c>
      <c r="B292" s="11" t="s">
        <v>833</v>
      </c>
      <c r="C292" s="11" t="s">
        <v>834</v>
      </c>
      <c r="D292" s="11" t="s">
        <v>835</v>
      </c>
      <c r="E292" s="12" t="n">
        <v>12</v>
      </c>
      <c r="F292" s="13" t="n">
        <f aca="false">E292/(1+Forudsætninger!$B$3)</f>
        <v>9.6</v>
      </c>
      <c r="G292" s="14"/>
      <c r="H292" s="15" t="str">
        <f aca="false">IF(OR(G292="",F292=0),"",(F292-G292)/F292)</f>
        <v/>
      </c>
      <c r="I292" s="11" t="str">
        <f aca="false">IF(G292="","UKENDT",IF(OR(E292=0,H292&lt;0),"KRITISK",IF(H292&lt;0.2,"HØJ",IF(H292&lt;0.35,"MIDDEL","OK"))))</f>
        <v>UKENDT</v>
      </c>
      <c r="J292" s="12" t="str">
        <f aca="false">IF(G292="","",MAX(E292,CEILING(G292/(1-Forudsætninger!$B$4)*(1+Forudsætninger!$B$3),IF(G292/(1-Forudsætninger!$B$4)*(1+Forudsætninger!$B$3)&lt;50,1,IF(G292/(1-Forudsætninger!$B$4)*(1+Forudsætninger!$B$3)&lt;200,5,10)))))</f>
        <v/>
      </c>
      <c r="K292" s="15" t="str">
        <f aca="false">IF(OR(J292="",E292=0),"",J292/E292-1)</f>
        <v/>
      </c>
      <c r="L292" s="15" t="str">
        <f aca="false">IF(J292="","",(J292/(1+Forudsætninger!$B$3)-G292)/(J292/(1+Forudsætninger!$B$3)))</f>
        <v/>
      </c>
      <c r="M292" s="11"/>
      <c r="N292" s="11"/>
    </row>
    <row r="293" customFormat="false" ht="15" hidden="false" customHeight="false" outlineLevel="0" collapsed="false">
      <c r="A293" s="11" t="s">
        <v>24</v>
      </c>
      <c r="B293" s="11" t="s">
        <v>833</v>
      </c>
      <c r="C293" s="11" t="s">
        <v>836</v>
      </c>
      <c r="D293" s="11" t="s">
        <v>837</v>
      </c>
      <c r="E293" s="12" t="n">
        <v>15</v>
      </c>
      <c r="F293" s="13" t="n">
        <f aca="false">E293/(1+Forudsætninger!$B$3)</f>
        <v>12</v>
      </c>
      <c r="G293" s="14"/>
      <c r="H293" s="15" t="str">
        <f aca="false">IF(OR(G293="",F293=0),"",(F293-G293)/F293)</f>
        <v/>
      </c>
      <c r="I293" s="11" t="str">
        <f aca="false">IF(G293="","UKENDT",IF(OR(E293=0,H293&lt;0),"KRITISK",IF(H293&lt;0.2,"HØJ",IF(H293&lt;0.35,"MIDDEL","OK"))))</f>
        <v>UKENDT</v>
      </c>
      <c r="J293" s="12" t="str">
        <f aca="false">IF(G293="","",MAX(E293,CEILING(G293/(1-Forudsætninger!$B$4)*(1+Forudsætninger!$B$3),IF(G293/(1-Forudsætninger!$B$4)*(1+Forudsætninger!$B$3)&lt;50,1,IF(G293/(1-Forudsætninger!$B$4)*(1+Forudsætninger!$B$3)&lt;200,5,10)))))</f>
        <v/>
      </c>
      <c r="K293" s="15" t="str">
        <f aca="false">IF(OR(J293="",E293=0),"",J293/E293-1)</f>
        <v/>
      </c>
      <c r="L293" s="15" t="str">
        <f aca="false">IF(J293="","",(J293/(1+Forudsætninger!$B$3)-G293)/(J293/(1+Forudsætninger!$B$3)))</f>
        <v/>
      </c>
      <c r="M293" s="11"/>
      <c r="N293" s="11"/>
    </row>
    <row r="294" customFormat="false" ht="15" hidden="false" customHeight="false" outlineLevel="0" collapsed="false">
      <c r="A294" s="11" t="s">
        <v>24</v>
      </c>
      <c r="B294" s="11" t="s">
        <v>833</v>
      </c>
      <c r="C294" s="11" t="s">
        <v>838</v>
      </c>
      <c r="D294" s="11" t="s">
        <v>839</v>
      </c>
      <c r="E294" s="12" t="n">
        <v>23</v>
      </c>
      <c r="F294" s="13" t="n">
        <f aca="false">E294/(1+Forudsætninger!$B$3)</f>
        <v>18.4</v>
      </c>
      <c r="G294" s="14"/>
      <c r="H294" s="15" t="str">
        <f aca="false">IF(OR(G294="",F294=0),"",(F294-G294)/F294)</f>
        <v/>
      </c>
      <c r="I294" s="11" t="str">
        <f aca="false">IF(G294="","UKENDT",IF(OR(E294=0,H294&lt;0),"KRITISK",IF(H294&lt;0.2,"HØJ",IF(H294&lt;0.35,"MIDDEL","OK"))))</f>
        <v>UKENDT</v>
      </c>
      <c r="J294" s="12" t="str">
        <f aca="false">IF(G294="","",MAX(E294,CEILING(G294/(1-Forudsætninger!$B$4)*(1+Forudsætninger!$B$3),IF(G294/(1-Forudsætninger!$B$4)*(1+Forudsætninger!$B$3)&lt;50,1,IF(G294/(1-Forudsætninger!$B$4)*(1+Forudsætninger!$B$3)&lt;200,5,10)))))</f>
        <v/>
      </c>
      <c r="K294" s="15" t="str">
        <f aca="false">IF(OR(J294="",E294=0),"",J294/E294-1)</f>
        <v/>
      </c>
      <c r="L294" s="15" t="str">
        <f aca="false">IF(J294="","",(J294/(1+Forudsætninger!$B$3)-G294)/(J294/(1+Forudsætninger!$B$3)))</f>
        <v/>
      </c>
      <c r="M294" s="11"/>
      <c r="N294" s="11"/>
    </row>
    <row r="295" customFormat="false" ht="15" hidden="false" customHeight="false" outlineLevel="0" collapsed="false">
      <c r="A295" s="11" t="s">
        <v>24</v>
      </c>
      <c r="B295" s="11" t="s">
        <v>840</v>
      </c>
      <c r="C295" s="11" t="s">
        <v>834</v>
      </c>
      <c r="D295" s="11" t="s">
        <v>841</v>
      </c>
      <c r="E295" s="12" t="n">
        <v>38</v>
      </c>
      <c r="F295" s="13" t="n">
        <f aca="false">E295/(1+Forudsætninger!$B$3)</f>
        <v>30.4</v>
      </c>
      <c r="G295" s="14"/>
      <c r="H295" s="15" t="str">
        <f aca="false">IF(OR(G295="",F295=0),"",(F295-G295)/F295)</f>
        <v/>
      </c>
      <c r="I295" s="11" t="str">
        <f aca="false">IF(G295="","UKENDT",IF(OR(E295=0,H295&lt;0),"KRITISK",IF(H295&lt;0.2,"HØJ",IF(H295&lt;0.35,"MIDDEL","OK"))))</f>
        <v>UKENDT</v>
      </c>
      <c r="J295" s="12" t="str">
        <f aca="false">IF(G295="","",MAX(E295,CEILING(G295/(1-Forudsætninger!$B$4)*(1+Forudsætninger!$B$3),IF(G295/(1-Forudsætninger!$B$4)*(1+Forudsætninger!$B$3)&lt;50,1,IF(G295/(1-Forudsætninger!$B$4)*(1+Forudsætninger!$B$3)&lt;200,5,10)))))</f>
        <v/>
      </c>
      <c r="K295" s="15" t="str">
        <f aca="false">IF(OR(J295="",E295=0),"",J295/E295-1)</f>
        <v/>
      </c>
      <c r="L295" s="15" t="str">
        <f aca="false">IF(J295="","",(J295/(1+Forudsætninger!$B$3)-G295)/(J295/(1+Forudsætninger!$B$3)))</f>
        <v/>
      </c>
      <c r="M295" s="11"/>
      <c r="N295" s="11"/>
    </row>
    <row r="296" customFormat="false" ht="15" hidden="false" customHeight="false" outlineLevel="0" collapsed="false">
      <c r="A296" s="11" t="s">
        <v>24</v>
      </c>
      <c r="B296" s="11" t="s">
        <v>840</v>
      </c>
      <c r="C296" s="11" t="s">
        <v>836</v>
      </c>
      <c r="D296" s="11" t="s">
        <v>842</v>
      </c>
      <c r="E296" s="12" t="n">
        <v>50</v>
      </c>
      <c r="F296" s="13" t="n">
        <f aca="false">E296/(1+Forudsætninger!$B$3)</f>
        <v>40</v>
      </c>
      <c r="G296" s="14"/>
      <c r="H296" s="15" t="str">
        <f aca="false">IF(OR(G296="",F296=0),"",(F296-G296)/F296)</f>
        <v/>
      </c>
      <c r="I296" s="11" t="str">
        <f aca="false">IF(G296="","UKENDT",IF(OR(E296=0,H296&lt;0),"KRITISK",IF(H296&lt;0.2,"HØJ",IF(H296&lt;0.35,"MIDDEL","OK"))))</f>
        <v>UKENDT</v>
      </c>
      <c r="J296" s="12" t="str">
        <f aca="false">IF(G296="","",MAX(E296,CEILING(G296/(1-Forudsætninger!$B$4)*(1+Forudsætninger!$B$3),IF(G296/(1-Forudsætninger!$B$4)*(1+Forudsætninger!$B$3)&lt;50,1,IF(G296/(1-Forudsætninger!$B$4)*(1+Forudsætninger!$B$3)&lt;200,5,10)))))</f>
        <v/>
      </c>
      <c r="K296" s="15" t="str">
        <f aca="false">IF(OR(J296="",E296=0),"",J296/E296-1)</f>
        <v/>
      </c>
      <c r="L296" s="15" t="str">
        <f aca="false">IF(J296="","",(J296/(1+Forudsætninger!$B$3)-G296)/(J296/(1+Forudsætninger!$B$3)))</f>
        <v/>
      </c>
      <c r="M296" s="11"/>
      <c r="N296" s="11"/>
    </row>
    <row r="297" customFormat="false" ht="15" hidden="false" customHeight="false" outlineLevel="0" collapsed="false">
      <c r="A297" s="11" t="s">
        <v>24</v>
      </c>
      <c r="B297" s="11" t="s">
        <v>840</v>
      </c>
      <c r="C297" s="11" t="s">
        <v>838</v>
      </c>
      <c r="D297" s="11" t="s">
        <v>843</v>
      </c>
      <c r="E297" s="12" t="n">
        <v>75</v>
      </c>
      <c r="F297" s="13" t="n">
        <f aca="false">E297/(1+Forudsætninger!$B$3)</f>
        <v>60</v>
      </c>
      <c r="G297" s="14"/>
      <c r="H297" s="15" t="str">
        <f aca="false">IF(OR(G297="",F297=0),"",(F297-G297)/F297)</f>
        <v/>
      </c>
      <c r="I297" s="11" t="str">
        <f aca="false">IF(G297="","UKENDT",IF(OR(E297=0,H297&lt;0),"KRITISK",IF(H297&lt;0.2,"HØJ",IF(H297&lt;0.35,"MIDDEL","OK"))))</f>
        <v>UKENDT</v>
      </c>
      <c r="J297" s="12" t="str">
        <f aca="false">IF(G297="","",MAX(E297,CEILING(G297/(1-Forudsætninger!$B$4)*(1+Forudsætninger!$B$3),IF(G297/(1-Forudsætninger!$B$4)*(1+Forudsætninger!$B$3)&lt;50,1,IF(G297/(1-Forudsætninger!$B$4)*(1+Forudsætninger!$B$3)&lt;200,5,10)))))</f>
        <v/>
      </c>
      <c r="K297" s="15" t="str">
        <f aca="false">IF(OR(J297="",E297=0),"",J297/E297-1)</f>
        <v/>
      </c>
      <c r="L297" s="15" t="str">
        <f aca="false">IF(J297="","",(J297/(1+Forudsætninger!$B$3)-G297)/(J297/(1+Forudsætninger!$B$3)))</f>
        <v/>
      </c>
      <c r="M297" s="11"/>
      <c r="N297" s="11"/>
    </row>
    <row r="298" customFormat="false" ht="15" hidden="false" customHeight="false" outlineLevel="0" collapsed="false">
      <c r="A298" s="11" t="s">
        <v>30</v>
      </c>
      <c r="B298" s="11" t="s">
        <v>739</v>
      </c>
      <c r="C298" s="11" t="s">
        <v>135</v>
      </c>
      <c r="D298" s="11" t="s">
        <v>844</v>
      </c>
      <c r="E298" s="12" t="n">
        <v>23</v>
      </c>
      <c r="F298" s="13" t="n">
        <f aca="false">E298/(1+Forudsætninger!$B$3)</f>
        <v>18.4</v>
      </c>
      <c r="G298" s="14"/>
      <c r="H298" s="15" t="str">
        <f aca="false">IF(OR(G298="",F298=0),"",(F298-G298)/F298)</f>
        <v/>
      </c>
      <c r="I298" s="11" t="str">
        <f aca="false">IF(G298="","UKENDT",IF(OR(E298=0,H298&lt;0),"KRITISK",IF(H298&lt;0.2,"HØJ",IF(H298&lt;0.35,"MIDDEL","OK"))))</f>
        <v>UKENDT</v>
      </c>
      <c r="J298" s="12" t="str">
        <f aca="false">IF(G298="","",MAX(E298,CEILING(G298/(1-Forudsætninger!$B$4)*(1+Forudsætninger!$B$3),IF(G298/(1-Forudsætninger!$B$4)*(1+Forudsætninger!$B$3)&lt;50,1,IF(G298/(1-Forudsætninger!$B$4)*(1+Forudsætninger!$B$3)&lt;200,5,10)))))</f>
        <v/>
      </c>
      <c r="K298" s="15" t="str">
        <f aca="false">IF(OR(J298="",E298=0),"",J298/E298-1)</f>
        <v/>
      </c>
      <c r="L298" s="15" t="str">
        <f aca="false">IF(J298="","",(J298/(1+Forudsætninger!$B$3)-G298)/(J298/(1+Forudsætninger!$B$3)))</f>
        <v/>
      </c>
      <c r="M298" s="11"/>
      <c r="N298" s="11" t="s">
        <v>845</v>
      </c>
    </row>
    <row r="299" customFormat="false" ht="15" hidden="false" customHeight="false" outlineLevel="0" collapsed="false">
      <c r="A299" s="11" t="s">
        <v>30</v>
      </c>
      <c r="B299" s="11" t="s">
        <v>578</v>
      </c>
      <c r="C299" s="11" t="s">
        <v>135</v>
      </c>
      <c r="D299" s="11" t="s">
        <v>846</v>
      </c>
      <c r="E299" s="12" t="n">
        <v>20</v>
      </c>
      <c r="F299" s="13" t="n">
        <f aca="false">E299/(1+Forudsætninger!$B$3)</f>
        <v>16</v>
      </c>
      <c r="G299" s="14"/>
      <c r="H299" s="15" t="str">
        <f aca="false">IF(OR(G299="",F299=0),"",(F299-G299)/F299)</f>
        <v/>
      </c>
      <c r="I299" s="11" t="str">
        <f aca="false">IF(G299="","UKENDT",IF(OR(E299=0,H299&lt;0),"KRITISK",IF(H299&lt;0.2,"HØJ",IF(H299&lt;0.35,"MIDDEL","OK"))))</f>
        <v>UKENDT</v>
      </c>
      <c r="J299" s="12" t="str">
        <f aca="false">IF(G299="","",MAX(E299,CEILING(G299/(1-Forudsætninger!$B$4)*(1+Forudsætninger!$B$3),IF(G299/(1-Forudsætninger!$B$4)*(1+Forudsætninger!$B$3)&lt;50,1,IF(G299/(1-Forudsætninger!$B$4)*(1+Forudsætninger!$B$3)&lt;200,5,10)))))</f>
        <v/>
      </c>
      <c r="K299" s="15" t="str">
        <f aca="false">IF(OR(J299="",E299=0),"",J299/E299-1)</f>
        <v/>
      </c>
      <c r="L299" s="15" t="str">
        <f aca="false">IF(J299="","",(J299/(1+Forudsætninger!$B$3)-G299)/(J299/(1+Forudsætninger!$B$3)))</f>
        <v/>
      </c>
      <c r="M299" s="11"/>
      <c r="N299" s="11" t="s">
        <v>847</v>
      </c>
    </row>
    <row r="300" customFormat="false" ht="15" hidden="false" customHeight="false" outlineLevel="0" collapsed="false">
      <c r="A300" s="11" t="s">
        <v>22</v>
      </c>
      <c r="B300" s="11" t="s">
        <v>645</v>
      </c>
      <c r="C300" s="11" t="s">
        <v>93</v>
      </c>
      <c r="D300" s="11" t="s">
        <v>848</v>
      </c>
      <c r="E300" s="12" t="n">
        <v>780</v>
      </c>
      <c r="F300" s="13" t="n">
        <f aca="false">E300/(1+Forudsætninger!$B$3)</f>
        <v>624</v>
      </c>
      <c r="G300" s="14"/>
      <c r="H300" s="15" t="str">
        <f aca="false">IF(OR(G300="",F300=0),"",(F300-G300)/F300)</f>
        <v/>
      </c>
      <c r="I300" s="11" t="str">
        <f aca="false">IF(G300="","UKENDT",IF(OR(E300=0,H300&lt;0),"KRITISK",IF(H300&lt;0.2,"HØJ",IF(H300&lt;0.35,"MIDDEL","OK"))))</f>
        <v>UKENDT</v>
      </c>
      <c r="J300" s="12" t="str">
        <f aca="false">IF(G300="","",MAX(E300,CEILING(G300/(1-Forudsætninger!$B$4)*(1+Forudsætninger!$B$3),IF(G300/(1-Forudsætninger!$B$4)*(1+Forudsætninger!$B$3)&lt;50,1,IF(G300/(1-Forudsætninger!$B$4)*(1+Forudsætninger!$B$3)&lt;200,5,10)))))</f>
        <v/>
      </c>
      <c r="K300" s="15" t="str">
        <f aca="false">IF(OR(J300="",E300=0),"",J300/E300-1)</f>
        <v/>
      </c>
      <c r="L300" s="15" t="str">
        <f aca="false">IF(J300="","",(J300/(1+Forudsætninger!$B$3)-G300)/(J300/(1+Forudsætninger!$B$3)))</f>
        <v/>
      </c>
      <c r="M300" s="11"/>
      <c r="N300" s="11"/>
    </row>
    <row r="301" customFormat="false" ht="15" hidden="false" customHeight="false" outlineLevel="0" collapsed="false">
      <c r="A301" s="11" t="s">
        <v>22</v>
      </c>
      <c r="B301" s="11" t="s">
        <v>849</v>
      </c>
      <c r="C301" s="11" t="s">
        <v>96</v>
      </c>
      <c r="D301" s="11" t="s">
        <v>850</v>
      </c>
      <c r="E301" s="12" t="n">
        <v>825</v>
      </c>
      <c r="F301" s="13" t="n">
        <f aca="false">E301/(1+Forudsætninger!$B$3)</f>
        <v>660</v>
      </c>
      <c r="G301" s="14"/>
      <c r="H301" s="15" t="str">
        <f aca="false">IF(OR(G301="",F301=0),"",(F301-G301)/F301)</f>
        <v/>
      </c>
      <c r="I301" s="11" t="str">
        <f aca="false">IF(G301="","UKENDT",IF(OR(E301=0,H301&lt;0),"KRITISK",IF(H301&lt;0.2,"HØJ",IF(H301&lt;0.35,"MIDDEL","OK"))))</f>
        <v>UKENDT</v>
      </c>
      <c r="J301" s="12" t="str">
        <f aca="false">IF(G301="","",MAX(E301,CEILING(G301/(1-Forudsætninger!$B$4)*(1+Forudsætninger!$B$3),IF(G301/(1-Forudsætninger!$B$4)*(1+Forudsætninger!$B$3)&lt;50,1,IF(G301/(1-Forudsætninger!$B$4)*(1+Forudsætninger!$B$3)&lt;200,5,10)))))</f>
        <v/>
      </c>
      <c r="K301" s="15" t="str">
        <f aca="false">IF(OR(J301="",E301=0),"",J301/E301-1)</f>
        <v/>
      </c>
      <c r="L301" s="15" t="str">
        <f aca="false">IF(J301="","",(J301/(1+Forudsætninger!$B$3)-G301)/(J301/(1+Forudsætninger!$B$3)))</f>
        <v/>
      </c>
      <c r="M301" s="11"/>
      <c r="N301" s="11"/>
    </row>
    <row r="302" customFormat="false" ht="15" hidden="false" customHeight="false" outlineLevel="0" collapsed="false">
      <c r="A302" s="11" t="s">
        <v>33</v>
      </c>
      <c r="B302" s="11" t="s">
        <v>851</v>
      </c>
      <c r="C302" s="11" t="s">
        <v>463</v>
      </c>
      <c r="D302" s="11" t="s">
        <v>852</v>
      </c>
      <c r="E302" s="12" t="n">
        <v>90</v>
      </c>
      <c r="F302" s="13" t="n">
        <f aca="false">E302/(1+Forudsætninger!$B$3)</f>
        <v>72</v>
      </c>
      <c r="G302" s="14"/>
      <c r="H302" s="15" t="str">
        <f aca="false">IF(OR(G302="",F302=0),"",(F302-G302)/F302)</f>
        <v/>
      </c>
      <c r="I302" s="11" t="str">
        <f aca="false">IF(G302="","UKENDT",IF(OR(E302=0,H302&lt;0),"KRITISK",IF(H302&lt;0.2,"HØJ",IF(H302&lt;0.35,"MIDDEL","OK"))))</f>
        <v>UKENDT</v>
      </c>
      <c r="J302" s="12" t="str">
        <f aca="false">IF(G302="","",MAX(E302,CEILING(G302/(1-Forudsætninger!$B$4)*(1+Forudsætninger!$B$3),IF(G302/(1-Forudsætninger!$B$4)*(1+Forudsætninger!$B$3)&lt;50,1,IF(G302/(1-Forudsætninger!$B$4)*(1+Forudsætninger!$B$3)&lt;200,5,10)))))</f>
        <v/>
      </c>
      <c r="K302" s="15" t="str">
        <f aca="false">IF(OR(J302="",E302=0),"",J302/E302-1)</f>
        <v/>
      </c>
      <c r="L302" s="15" t="str">
        <f aca="false">IF(J302="","",(J302/(1+Forudsætninger!$B$3)-G302)/(J302/(1+Forudsætninger!$B$3)))</f>
        <v/>
      </c>
      <c r="M302" s="11"/>
      <c r="N302" s="11"/>
    </row>
    <row r="303" customFormat="false" ht="15" hidden="false" customHeight="false" outlineLevel="0" collapsed="false">
      <c r="A303" s="11" t="s">
        <v>24</v>
      </c>
      <c r="B303" s="11" t="s">
        <v>546</v>
      </c>
      <c r="C303" s="11" t="s">
        <v>492</v>
      </c>
      <c r="D303" s="11" t="s">
        <v>853</v>
      </c>
      <c r="E303" s="12" t="n">
        <v>120</v>
      </c>
      <c r="F303" s="13" t="n">
        <f aca="false">E303/(1+Forudsætninger!$B$3)</f>
        <v>96</v>
      </c>
      <c r="G303" s="14"/>
      <c r="H303" s="15" t="str">
        <f aca="false">IF(OR(G303="",F303=0),"",(F303-G303)/F303)</f>
        <v/>
      </c>
      <c r="I303" s="11" t="str">
        <f aca="false">IF(G303="","UKENDT",IF(OR(E303=0,H303&lt;0),"KRITISK",IF(H303&lt;0.2,"HØJ",IF(H303&lt;0.35,"MIDDEL","OK"))))</f>
        <v>UKENDT</v>
      </c>
      <c r="J303" s="12" t="str">
        <f aca="false">IF(G303="","",MAX(E303,CEILING(G303/(1-Forudsætninger!$B$4)*(1+Forudsætninger!$B$3),IF(G303/(1-Forudsætninger!$B$4)*(1+Forudsætninger!$B$3)&lt;50,1,IF(G303/(1-Forudsætninger!$B$4)*(1+Forudsætninger!$B$3)&lt;200,5,10)))))</f>
        <v/>
      </c>
      <c r="K303" s="15" t="str">
        <f aca="false">IF(OR(J303="",E303=0),"",J303/E303-1)</f>
        <v/>
      </c>
      <c r="L303" s="15" t="str">
        <f aca="false">IF(J303="","",(J303/(1+Forudsætninger!$B$3)-G303)/(J303/(1+Forudsætninger!$B$3)))</f>
        <v/>
      </c>
      <c r="M303" s="11"/>
      <c r="N303" s="11"/>
    </row>
    <row r="304" customFormat="false" ht="15" hidden="false" customHeight="false" outlineLevel="0" collapsed="false">
      <c r="A304" s="11" t="s">
        <v>24</v>
      </c>
      <c r="B304" s="11" t="s">
        <v>546</v>
      </c>
      <c r="C304" s="11" t="s">
        <v>495</v>
      </c>
      <c r="D304" s="11" t="s">
        <v>854</v>
      </c>
      <c r="E304" s="12" t="n">
        <v>120</v>
      </c>
      <c r="F304" s="13" t="n">
        <f aca="false">E304/(1+Forudsætninger!$B$3)</f>
        <v>96</v>
      </c>
      <c r="G304" s="14"/>
      <c r="H304" s="15" t="str">
        <f aca="false">IF(OR(G304="",F304=0),"",(F304-G304)/F304)</f>
        <v/>
      </c>
      <c r="I304" s="11" t="str">
        <f aca="false">IF(G304="","UKENDT",IF(OR(E304=0,H304&lt;0),"KRITISK",IF(H304&lt;0.2,"HØJ",IF(H304&lt;0.35,"MIDDEL","OK"))))</f>
        <v>UKENDT</v>
      </c>
      <c r="J304" s="12" t="str">
        <f aca="false">IF(G304="","",MAX(E304,CEILING(G304/(1-Forudsætninger!$B$4)*(1+Forudsætninger!$B$3),IF(G304/(1-Forudsætninger!$B$4)*(1+Forudsætninger!$B$3)&lt;50,1,IF(G304/(1-Forudsætninger!$B$4)*(1+Forudsætninger!$B$3)&lt;200,5,10)))))</f>
        <v/>
      </c>
      <c r="K304" s="15" t="str">
        <f aca="false">IF(OR(J304="",E304=0),"",J304/E304-1)</f>
        <v/>
      </c>
      <c r="L304" s="15" t="str">
        <f aca="false">IF(J304="","",(J304/(1+Forudsætninger!$B$3)-G304)/(J304/(1+Forudsætninger!$B$3)))</f>
        <v/>
      </c>
      <c r="M304" s="11"/>
      <c r="N304" s="11"/>
    </row>
    <row r="305" customFormat="false" ht="15" hidden="false" customHeight="false" outlineLevel="0" collapsed="false">
      <c r="A305" s="11" t="s">
        <v>32</v>
      </c>
      <c r="B305" s="11" t="s">
        <v>855</v>
      </c>
      <c r="C305" s="11" t="s">
        <v>856</v>
      </c>
      <c r="D305" s="11" t="s">
        <v>857</v>
      </c>
      <c r="E305" s="12" t="n">
        <v>93</v>
      </c>
      <c r="F305" s="13" t="n">
        <f aca="false">E305/(1+Forudsætninger!$B$3)</f>
        <v>74.4</v>
      </c>
      <c r="G305" s="14"/>
      <c r="H305" s="15" t="str">
        <f aca="false">IF(OR(G305="",F305=0),"",(F305-G305)/F305)</f>
        <v/>
      </c>
      <c r="I305" s="11" t="str">
        <f aca="false">IF(G305="","UKENDT",IF(OR(E305=0,H305&lt;0),"KRITISK",IF(H305&lt;0.2,"HØJ",IF(H305&lt;0.35,"MIDDEL","OK"))))</f>
        <v>UKENDT</v>
      </c>
      <c r="J305" s="12" t="str">
        <f aca="false">IF(G305="","",MAX(E305,CEILING(G305/(1-Forudsætninger!$B$4)*(1+Forudsætninger!$B$3),IF(G305/(1-Forudsætninger!$B$4)*(1+Forudsætninger!$B$3)&lt;50,1,IF(G305/(1-Forudsætninger!$B$4)*(1+Forudsætninger!$B$3)&lt;200,5,10)))))</f>
        <v/>
      </c>
      <c r="K305" s="15" t="str">
        <f aca="false">IF(OR(J305="",E305=0),"",J305/E305-1)</f>
        <v/>
      </c>
      <c r="L305" s="15" t="str">
        <f aca="false">IF(J305="","",(J305/(1+Forudsætninger!$B$3)-G305)/(J305/(1+Forudsætninger!$B$3)))</f>
        <v/>
      </c>
      <c r="M305" s="11"/>
      <c r="N305" s="11"/>
    </row>
  </sheetData>
  <autoFilter ref="A1:N305"/>
  <conditionalFormatting sqref="A2:N305">
    <cfRule type="expression" priority="2" aboveAverage="0" equalAverage="0" bottom="0" percent="0" rank="0" text="" dxfId="8">
      <formula>$I2="KRITISK"</formula>
    </cfRule>
    <cfRule type="expression" priority="3" aboveAverage="0" equalAverage="0" bottom="0" percent="0" rank="0" text="" dxfId="9">
      <formula>$I2="HØJ"</formula>
    </cfRule>
    <cfRule type="expression" priority="4" aboveAverage="0" equalAverage="0" bottom="0" percent="0" rank="0" text="" dxfId="10">
      <formula>$I2="MIDDEL"</formula>
    </cfRule>
    <cfRule type="expression" priority="5" aboveAverage="0" equalAverage="0" bottom="0" percent="0" rank="0" text="" dxfId="11">
      <formula>$I2="OK"</formula>
    </cfRule>
    <cfRule type="expression" priority="6" aboveAverage="0" equalAverage="0" bottom="0" percent="0" rank="0" text="" dxfId="12">
      <formula>$I2="UKENDT"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6" t="s">
        <v>858</v>
      </c>
    </row>
    <row r="3" customFormat="false" ht="15" hidden="false" customHeight="false" outlineLevel="0" collapsed="false">
      <c r="A3" s="0" t="s">
        <v>859</v>
      </c>
      <c r="B3" s="17" t="n">
        <v>0.25</v>
      </c>
    </row>
    <row r="4" customFormat="false" ht="15" hidden="false" customHeight="false" outlineLevel="0" collapsed="false">
      <c r="A4" s="0" t="s">
        <v>860</v>
      </c>
      <c r="B4" s="17" t="n">
        <v>0.45</v>
      </c>
    </row>
    <row r="5" customFormat="false" ht="15" hidden="false" customHeight="false" outlineLevel="0" collapsed="false">
      <c r="A5" s="0" t="s">
        <v>861</v>
      </c>
      <c r="B5" s="0" t="s">
        <v>862</v>
      </c>
    </row>
    <row r="6" customFormat="false" ht="15" hidden="false" customHeight="false" outlineLevel="0" collapsed="false">
      <c r="A6" s="0" t="s">
        <v>863</v>
      </c>
      <c r="B6" s="0" t="s">
        <v>864</v>
      </c>
    </row>
    <row r="7" customFormat="false" ht="15" hidden="false" customHeight="false" outlineLevel="0" collapsed="false">
      <c r="A7" s="0" t="s">
        <v>18</v>
      </c>
      <c r="B7" s="0" t="s">
        <v>865</v>
      </c>
    </row>
    <row r="9" customFormat="false" ht="15" hidden="false" customHeight="false" outlineLevel="0" collapsed="false">
      <c r="A9" s="0" t="s">
        <v>866</v>
      </c>
    </row>
    <row r="11" customFormat="false" ht="15" hidden="false" customHeight="false" outlineLevel="0" collapsed="false">
      <c r="A11" s="0" t="s">
        <v>2</v>
      </c>
      <c r="B11" s="0" t="s">
        <v>867</v>
      </c>
    </row>
    <row r="12" customFormat="false" ht="15" hidden="false" customHeight="false" outlineLevel="0" collapsed="false">
      <c r="A12" s="0" t="s">
        <v>5</v>
      </c>
      <c r="B12" s="0" t="s">
        <v>868</v>
      </c>
    </row>
    <row r="13" customFormat="false" ht="15" hidden="false" customHeight="false" outlineLevel="0" collapsed="false">
      <c r="A13" s="0" t="s">
        <v>7</v>
      </c>
      <c r="B13" s="0" t="s">
        <v>869</v>
      </c>
    </row>
    <row r="14" customFormat="false" ht="15" hidden="false" customHeight="false" outlineLevel="0" collapsed="false">
      <c r="A14" s="0" t="s">
        <v>9</v>
      </c>
      <c r="B14" s="0" t="s">
        <v>870</v>
      </c>
    </row>
    <row r="15" customFormat="false" ht="15" hidden="false" customHeight="false" outlineLevel="0" collapsed="false">
      <c r="A15" s="0" t="s">
        <v>11</v>
      </c>
      <c r="B15" s="0" t="s">
        <v>871</v>
      </c>
    </row>
    <row r="16" customFormat="false" ht="15" hidden="false" customHeight="false" outlineLevel="0" collapsed="false">
      <c r="A16" s="0" t="s">
        <v>13</v>
      </c>
      <c r="B16" s="0" t="s">
        <v>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2026-09-02T10:39:15Z</dcterms:created>
  <dc:creator>openpyxl</dc:creator>
  <dc:description/>
  <dc:language>en-US</dc:language>
  <cp:lastModifiedBy/>
  <dcterms:modified xsi:type="dcterms:W3CDTF">2026-09-02T10:39:15Z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