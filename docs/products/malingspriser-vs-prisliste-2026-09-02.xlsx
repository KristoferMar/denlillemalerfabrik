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summering" sheetId="1" state="visible" r:id="rId3"/>
    <sheet name="Status" sheetId="2" state="visible" r:id="rId4"/>
    <sheet name="Forudsætninger" sheetId="3" state="visible" r:id="rId5"/>
    <sheet name="Kun i shoppen" sheetId="4" state="visible" r:id="rId6"/>
    <sheet name="Kun på prislisten" sheetId="5" state="visible" r:id="rId7"/>
  </sheets>
  <definedNames>
    <definedName function="false" hidden="true" localSheetId="1" name="_xlnm._FilterDatabase" vbProcedure="false">Status!$A$1:$L$73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<sst xmlns="http://schemas.openxmlformats.org/spreadsheetml/2006/main" count="695" uniqueCount="251">
  <si>
    <t xml:space="preserve">Malingsprodukter – status efter prisjustering 2. september 2026</t>
  </si>
  <si>
    <t xml:space="preserve">Shop-priserne er sat efter "DLM fuld prisliste alle produkter" for alle produkter med en direkte linje på listen. Fanen Status viser før/nu pr. produkt, størrelse og farvegruppe.</t>
  </si>
  <si>
    <t xml:space="preserve">Status</t>
  </si>
  <si>
    <t xml:space="preserve">Antal linjer</t>
  </si>
  <si>
    <t xml:space="preserve">Betydning</t>
  </si>
  <si>
    <t xml:space="preserve">FØLGER LISTEN</t>
  </si>
  <si>
    <t xml:space="preserve">Shop-pris = vejl. udsalgspris</t>
  </si>
  <si>
    <t xml:space="preserve">AFVIGER FRA LISTEN</t>
  </si>
  <si>
    <t xml:space="preserve">Har en linje på listen, men prisen er ikke sat (se Note)</t>
  </si>
  <si>
    <t xml:space="preserve">INGEN LINJE PÅ LISTEN</t>
  </si>
  <si>
    <t xml:space="preserve">Størrelsen findes ikke på prislisten – ikke ændret</t>
  </si>
  <si>
    <t xml:space="preserve">0 KR I SHOPPEN</t>
  </si>
  <si>
    <t xml:space="preserve">Kan stadig lægges i kurven gratis</t>
  </si>
  <si>
    <t xml:space="preserve">Median-avance nu (linjer med intern pris)</t>
  </si>
  <si>
    <t xml:space="preserve">Median-prisændring</t>
  </si>
  <si>
    <t xml:space="preserve">Udestående</t>
  </si>
  <si>
    <t xml:space="preserve">Træbeskyttelse Glans 20 i 1 L (119) og 3 L (239): ingen linje på listen – står nu meget lavt mod 5 L (749/899).</t>
  </si>
  <si>
    <t xml:space="preserve">Tag &amp; sokkelmaling 2,5 L (219) og Transparent træbeskyttelse 5 L ×2 (438): listen har andre størrelser.</t>
  </si>
  <si>
    <t xml:space="preserve">0 kr i shoppen: Loft- &amp; vægmaling Glans 5 (3/5/10 L), Sandspartel Fin/Medium, Letspartel, Vådrumsspartel, Glasfilt, Glasvæv, Mag+, Rutex, Vævlim – ikke på listen, mangler pris.</t>
  </si>
  <si>
    <t xml:space="preserve">Produkter uden linje på listen (fanen Kun i shoppen): Vandskuringsmaling, Akryl emalie, Træolie 40, Ædeltræsolie, Universal heldækkende, Tagflex, Microdispersgrunder tixotropisk, Grundingsolie industri.</t>
  </si>
  <si>
    <t xml:space="preserve">Produkter på listen som shoppen ikke sælger (fanen Kun på prislisten): Yacht/Model/Festivals Lak, Beton Forsegler, 2K-serien, Anti Grafitti, WWP whiteboard, Vitrulan glasfilt m.fl.</t>
  </si>
  <si>
    <t xml:space="preserve">Tema: configurator-variant-map.json genopbygget og "Populær maling"-kortene har fået fast pris – skal pushes for at slå igennem på forsiden.</t>
  </si>
  <si>
    <t xml:space="preserve">Produkt (shop)</t>
  </si>
  <si>
    <t xml:space="preserve">Størrelse</t>
  </si>
  <si>
    <t xml:space="preserve">Farvegruppe</t>
  </si>
  <si>
    <t xml:space="preserve">Pris før</t>
  </si>
  <si>
    <t xml:space="preserve">Pris nu</t>
  </si>
  <si>
    <t xml:space="preserve">Ændring</t>
  </si>
  <si>
    <t xml:space="preserve">Intern pris (kost)</t>
  </si>
  <si>
    <t xml:space="preserve">Avance nu</t>
  </si>
  <si>
    <t xml:space="preserve">Vejl. pris (prisliste)</t>
  </si>
  <si>
    <t xml:space="preserve">Prisliste-linje</t>
  </si>
  <si>
    <t xml:space="preserve">Note</t>
  </si>
  <si>
    <t xml:space="preserve">Vægmaling Glans 5</t>
  </si>
  <si>
    <t xml:space="preserve">1L</t>
  </si>
  <si>
    <t xml:space="preserve">Råhvid</t>
  </si>
  <si>
    <t xml:space="preserve">VÆG GLANS 5 LYS RÅHVID 1 L</t>
  </si>
  <si>
    <t xml:space="preserve">Ændret 2. sep 2026 til prislistens pris. Shoppen har én pris for alle 217 farver. Prislisten skelner mellem Lys Råhvid og Base C (tonede farver).</t>
  </si>
  <si>
    <t xml:space="preserve">Tonede farver (216)</t>
  </si>
  <si>
    <t xml:space="preserve">VÆG GLANS 5 BASE C 0,8 L</t>
  </si>
  <si>
    <t xml:space="preserve">Ændret 2. sep 2026 til prislistens pris.</t>
  </si>
  <si>
    <t xml:space="preserve">3L</t>
  </si>
  <si>
    <t xml:space="preserve">VÆG GLANS 5 LYS RÅHVID 3 L</t>
  </si>
  <si>
    <t xml:space="preserve">VÆG GLANS 5 BASE C 2,6 L</t>
  </si>
  <si>
    <t xml:space="preserve">5L</t>
  </si>
  <si>
    <t xml:space="preserve">VÆG GLANS 5 LYS RÅHVID 5 L</t>
  </si>
  <si>
    <t xml:space="preserve">VÆG GLANS 5 BASE C 4,8 L</t>
  </si>
  <si>
    <t xml:space="preserve">10L</t>
  </si>
  <si>
    <t xml:space="preserve">VÆG GLANS 5 LYS RÅHVID 10 L</t>
  </si>
  <si>
    <t xml:space="preserve">VÆG GLANS 5 BASE C 9,7 L</t>
  </si>
  <si>
    <t xml:space="preserve">Vægmaling Glans 10</t>
  </si>
  <si>
    <t xml:space="preserve">VÆG GLANS 10 LYS RÅHVID 1 L</t>
  </si>
  <si>
    <t xml:space="preserve">Ændret 2. sep 2026 til prislistens pris. Som Glans 5.</t>
  </si>
  <si>
    <t xml:space="preserve">VÆG GLANS 10 BASE C 0,8 L</t>
  </si>
  <si>
    <t xml:space="preserve">VÆG GLANS 10 LYS RÅHVID 3 L</t>
  </si>
  <si>
    <t xml:space="preserve">VÆG GLANS 10 BASE C 2,6 L</t>
  </si>
  <si>
    <t xml:space="preserve">VÆG GLANS 10 LYS RÅHVID 5 L</t>
  </si>
  <si>
    <t xml:space="preserve">VÆG GLANS 10 BASE C 4,8 L</t>
  </si>
  <si>
    <t xml:space="preserve">VÆG GLANS 10 LYS RÅHVID 10 L</t>
  </si>
  <si>
    <t xml:space="preserve">VÆG GLANS 10 BASE C 9,7 L</t>
  </si>
  <si>
    <t xml:space="preserve">Loftmaling Glans 1</t>
  </si>
  <si>
    <t xml:space="preserve">LOFT GLANS 1 LYS RÅHVID 1 L</t>
  </si>
  <si>
    <t xml:space="preserve">Ændret 2. sep 2026 til prislistens pris. Prislisten har kun Lys Råhvid for loft – ingen Base C.</t>
  </si>
  <si>
    <t xml:space="preserve">LOFT GLANS 1 LYS RÅHVID 3 L</t>
  </si>
  <si>
    <t xml:space="preserve">LOFT GLANS 1 LYS RÅHVID 5 L</t>
  </si>
  <si>
    <t xml:space="preserve">LOFT GLANS 1 LYS RÅHVID 10 L</t>
  </si>
  <si>
    <t xml:space="preserve">12L</t>
  </si>
  <si>
    <t xml:space="preserve">LOFT GLANS 1 LYS RÅHVID 12 L</t>
  </si>
  <si>
    <t xml:space="preserve">Loftmaling Glans 5</t>
  </si>
  <si>
    <t xml:space="preserve">Ændret 2. sep 2026 til prislistens pris. Loft Glans 5 findes IKKE på prislisten – sammenlignet med Loft Glans 1 som nærmeste.</t>
  </si>
  <si>
    <t xml:space="preserve">Træ &amp; Metal Glans 40</t>
  </si>
  <si>
    <t xml:space="preserve">TRÆ &amp; METAL GLANS 40 LYS RÅHVID 1 L</t>
  </si>
  <si>
    <t xml:space="preserve">TRÆ &amp; METAL GLANS 40 BASE C 0,8 L</t>
  </si>
  <si>
    <t xml:space="preserve">TRÆ &amp; METAL GLANS 40 LYS RÅHVID 3 L</t>
  </si>
  <si>
    <t xml:space="preserve">TRÆ &amp; METAL GLANS 40 BASE C 2,7 L</t>
  </si>
  <si>
    <t xml:space="preserve">Træbeskyttelse Glans 20 (farvet)</t>
  </si>
  <si>
    <t xml:space="preserve">Ingen tilsvarende størrelse på prislisten – pris IKKE ændret. Står nu meget lavt i forhold til 5 L.</t>
  </si>
  <si>
    <t xml:space="preserve">TRÆBESKYTTELSE HELDÆKKENDE OLIEBASERET BASE A 2,5 L</t>
  </si>
  <si>
    <t xml:space="preserve">TRÆBESKYTTELSE HELDÆKKENDE OLIEBASERET BASE C 5 L</t>
  </si>
  <si>
    <t xml:space="preserve">TRÆBESKYTTELSE HELDÆKKENDE OLIEBASERET BASE A 5 L</t>
  </si>
  <si>
    <t xml:space="preserve">TRÆBESKYTTELSE HELDÆKKENDE OLIEBASERET BASE C 10 L</t>
  </si>
  <si>
    <t xml:space="preserve">Ændret 2. sep 2026 til prislistens pris. Prislisten har kun Base C for 10 L – samme pris for alle farver.</t>
  </si>
  <si>
    <t xml:space="preserve">Vægmaling Køkken &amp; Bad Glans 25</t>
  </si>
  <si>
    <t xml:space="preserve">3 L</t>
  </si>
  <si>
    <t xml:space="preserve">KØKKEN &amp; BAD GLANS 25 LYS RÅHVID 3 L</t>
  </si>
  <si>
    <t xml:space="preserve">Ændret 2. sep 2026 til prislistens pris. 5 L står til 0 kr i shoppen. Prislisten har også 1 L (299 kr), som shoppen ikke sælger.</t>
  </si>
  <si>
    <t xml:space="preserve">5 L</t>
  </si>
  <si>
    <t xml:space="preserve">KØKKEN &amp; BAD GLANS 25 LYS RÅHVID 5 L</t>
  </si>
  <si>
    <t xml:space="preserve">10 L</t>
  </si>
  <si>
    <t xml:space="preserve">KØKKEN &amp; BAD GLANS 25 LYS RÅHVID 10 L</t>
  </si>
  <si>
    <t xml:space="preserve">Microdispers (blåtonet, inde/ude)</t>
  </si>
  <si>
    <t xml:space="preserve">MICRODISPERS BLÅ TONET 10 L</t>
  </si>
  <si>
    <t xml:space="preserve">Ændret 2. sep 2026 til prislistens pris. Prislisten har også 5/3/1 L.</t>
  </si>
  <si>
    <t xml:space="preserve">Microdispers Microgrunder (hvidpigmenteret)</t>
  </si>
  <si>
    <t xml:space="preserve">MICRODISPERS GRUNDER HVID 10 L</t>
  </si>
  <si>
    <t xml:space="preserve">Grundingsolie vandig</t>
  </si>
  <si>
    <t xml:space="preserve">GRUNDINGSOLIE VANDIG 5 L</t>
  </si>
  <si>
    <t xml:space="preserve">GRUNDINGSOLIE VANDIG 10 L</t>
  </si>
  <si>
    <t xml:space="preserve">Alkyd træ grundingsolie</t>
  </si>
  <si>
    <t xml:space="preserve">GRUNDSINGSOLIE OLIEBASERET 5 L</t>
  </si>
  <si>
    <t xml:space="preserve">Ændret 2. sep 2026 til prislistens pris. Antaget = "Grundingsolie oliebaseret" på prislisten.</t>
  </si>
  <si>
    <t xml:space="preserve">20 L</t>
  </si>
  <si>
    <t xml:space="preserve">GRUNDSINGSOLIE OLIEBASERET 20 L</t>
  </si>
  <si>
    <t xml:space="preserve">Tag &amp; facademaling</t>
  </si>
  <si>
    <t xml:space="preserve">TAG &amp; FACADE GLANS 10 BASE C 10 L</t>
  </si>
  <si>
    <t xml:space="preserve">Ændret 2. sep 2026 til prislistens pris. Antaget glans 10. Prislisten har også 20 L.</t>
  </si>
  <si>
    <t xml:space="preserve">Tag &amp; facademaling Glans 20</t>
  </si>
  <si>
    <t xml:space="preserve">TAG &amp; FACADE GLANS 20 BASE C 10 L</t>
  </si>
  <si>
    <t xml:space="preserve">Tagmaling Glans 10</t>
  </si>
  <si>
    <t xml:space="preserve">TAG &amp; FACADE GLANS 10 BASE C 20 L</t>
  </si>
  <si>
    <t xml:space="preserve">Tagmaling Glans 20 (sort glans 60)</t>
  </si>
  <si>
    <t xml:space="preserve">TAG &amp; FACADE GLANS 20 BASE C 20 L</t>
  </si>
  <si>
    <t xml:space="preserve">Tagmaling aluminium Glans 60</t>
  </si>
  <si>
    <t xml:space="preserve">TAG &amp; FACADE GLANS 60 BASE C 20 L</t>
  </si>
  <si>
    <t xml:space="preserve">Mur &amp; facademaling (akryl/olie)</t>
  </si>
  <si>
    <t xml:space="preserve">FACADE AKRYL / OLIE BASE C 5 L</t>
  </si>
  <si>
    <t xml:space="preserve">Ændret 2. sep 2026 til prislistens pris. Prislisten har også 3 L. Prislisten har Base A og Base C – den laveste (Base C) er brugt.</t>
  </si>
  <si>
    <t xml:space="preserve">FACADE AKRYL / OLIE BASE C 10 L</t>
  </si>
  <si>
    <t xml:space="preserve">Tag &amp; sokkelmaling</t>
  </si>
  <si>
    <t xml:space="preserve">2,5 L</t>
  </si>
  <si>
    <t xml:space="preserve">SOKKEL MALING GLANS 20 BASE C 3 L</t>
  </si>
  <si>
    <t xml:space="preserve">Prislisten har 3 L, ikke 2,5 L – pris IKKE ændret.</t>
  </si>
  <si>
    <t xml:space="preserve">SOKKEL MALING GLANS 20 BASE C 5 L</t>
  </si>
  <si>
    <t xml:space="preserve">Træbeskyttelse heldækkende (vandig)</t>
  </si>
  <si>
    <t xml:space="preserve">TRÆBESKYTTELSE HELDÆKKENDE VANDIG BASE A 5 L</t>
  </si>
  <si>
    <t xml:space="preserve">Ændret 2. sep 2026 til prislistens pris. Prislisten har Base A og Base C – den laveste (Base A) er brugt.</t>
  </si>
  <si>
    <t xml:space="preserve">Træbeskyttelse heldækkende (alkyd/olie)</t>
  </si>
  <si>
    <t xml:space="preserve">Transparent træbeskyttelse</t>
  </si>
  <si>
    <t xml:space="preserve">TRÆBESKYTTELSE TRANSPARENT OLIEBASERET FARVELØS 2,5 L</t>
  </si>
  <si>
    <t xml:space="preserve">Prislisten har kun 2,5 L (699) – 5 L pris IKKE ændret.</t>
  </si>
  <si>
    <t xml:space="preserve">Transparent træbeskyttelse (tixotropisk)</t>
  </si>
  <si>
    <t xml:space="preserve">Træterrasseolie (olie-baseret)</t>
  </si>
  <si>
    <t xml:space="preserve">TERRESSEOLIE FARVELØS 5 L</t>
  </si>
  <si>
    <t xml:space="preserve">PU gulvlak</t>
  </si>
  <si>
    <t xml:space="preserve">AKRYLLAK PU GLANS 15 KLAR 10 L</t>
  </si>
  <si>
    <t xml:space="preserve">Ændret 2. sep 2026 til prislistens pris. Antaget = "Akryllak PU glans 15 klar".</t>
  </si>
  <si>
    <t xml:space="preserve">Husrens Plus 9,9%</t>
  </si>
  <si>
    <t xml:space="preserve">UDE RENS 1.10 5 L</t>
  </si>
  <si>
    <t xml:space="preserve">Ændret 2. sep 2026 til prislistens pris. Antaget = "Ude rens 1.10". Prislisten har også 3/1 L.</t>
  </si>
  <si>
    <t xml:space="preserve">Forudsætninger</t>
  </si>
  <si>
    <t xml:space="preserve">Moms</t>
  </si>
  <si>
    <t xml:space="preserve">Kilde, prisliste</t>
  </si>
  <si>
    <t xml:space="preserve">DLM_fuld_prisliste_alle_produkter.numbers (kilde til sandhed). "Intern pris" = kost ekskl. moms, "Vejl. udsalgspris" = inkl. moms.</t>
  </si>
  <si>
    <t xml:space="preserve">Kilde, shop-priser</t>
  </si>
  <si>
    <t xml:space="preserve">Shopify. "Pris før" = morgenen 2. sep 2026, "Pris nu" = efter prisjusteringen samme dag (4.365 varianter, 23 produkter).</t>
  </si>
  <si>
    <t xml:space="preserve">Regel, farvede malinger</t>
  </si>
  <si>
    <t xml:space="preserve">Råhvid = prislistens "Lys Råhvid"-pris. De øvrige 216 farver = prislistens "Base C"-pris. Hvor listen kun har én linje, gælder den for alle farver.</t>
  </si>
  <si>
    <t xml:space="preserve">Størrelser</t>
  </si>
  <si>
    <t xml:space="preserve">Prislistens 9,7 / 4,8 / 2,6–2,7 / 0,8 L er behandlet som 10 / 5 / 3 / 1 L. Andre afvigende størrelser er IKKE ændret (se Note).</t>
  </si>
  <si>
    <t xml:space="preserve">Avance</t>
  </si>
  <si>
    <t xml:space="preserve">(pris ekskl. moms − intern pris) / pris ekskl. moms</t>
  </si>
  <si>
    <t xml:space="preserve">Blå celler kan ændres.</t>
  </si>
  <si>
    <t xml:space="preserve">Produkt</t>
  </si>
  <si>
    <t xml:space="preserve">Shop-pris</t>
  </si>
  <si>
    <t xml:space="preserve">Bemærkning</t>
  </si>
  <si>
    <t xml:space="preserve">Loft- &amp; vægmaling Glans 5</t>
  </si>
  <si>
    <t xml:space="preserve">Ingen tilsvarende linje på prislisten – pris ikke ændret – STÅR TIL 0 KR</t>
  </si>
  <si>
    <t xml:space="preserve">Vandskuringsmaling</t>
  </si>
  <si>
    <t xml:space="preserve">Ingen tilsvarende linje på prislisten – pris ikke ændret</t>
  </si>
  <si>
    <t xml:space="preserve">Akryl emalie Glans 40</t>
  </si>
  <si>
    <t xml:space="preserve">1 L</t>
  </si>
  <si>
    <t xml:space="preserve">Træolie 40 (olie-baseret)</t>
  </si>
  <si>
    <t xml:space="preserve">Ædeltræsolie (gylden)</t>
  </si>
  <si>
    <t xml:space="preserve">Universal heldækkende (olie-baseret) til træ/sten/eternit</t>
  </si>
  <si>
    <t xml:space="preserve">Tagflex (gummimaling)</t>
  </si>
  <si>
    <t xml:space="preserve">Microdispersgrunder (tixotropisk)</t>
  </si>
  <si>
    <t xml:space="preserve">Grundingsolie vandig (industri)</t>
  </si>
  <si>
    <t xml:space="preserve">Nr.</t>
  </si>
  <si>
    <t xml:space="preserve">Intern pris</t>
  </si>
  <si>
    <t xml:space="preserve">Vejl. udsalgspris</t>
  </si>
  <si>
    <t xml:space="preserve">VÆG GLANS 5 LYS RÅHVID</t>
  </si>
  <si>
    <t xml:space="preserve">12 L</t>
  </si>
  <si>
    <t xml:space="preserve">Anden størrelse af et produkt shoppen fører</t>
  </si>
  <si>
    <t xml:space="preserve">VÆG GLANS 5 BASE C (Farveprøve)</t>
  </si>
  <si>
    <t xml:space="preserve">0,3 L</t>
  </si>
  <si>
    <t xml:space="preserve">Produktet findes ikke i shoppen</t>
  </si>
  <si>
    <t xml:space="preserve">KØKKEN &amp; BAD GLANS 25 LYS RÅHVID</t>
  </si>
  <si>
    <t xml:space="preserve">KØKKEN &amp; BAD GLANS 25 BASE C</t>
  </si>
  <si>
    <t xml:space="preserve">0,8 L</t>
  </si>
  <si>
    <t xml:space="preserve">MICRODISPERS BLÅ TONET</t>
  </si>
  <si>
    <t xml:space="preserve">MICRODISPERS GRUNDER HVID</t>
  </si>
  <si>
    <t xml:space="preserve">TAG &amp; FACADE GLANS 60 BASE C</t>
  </si>
  <si>
    <t xml:space="preserve">FACADE AKRYL / OLIE BASE C</t>
  </si>
  <si>
    <t xml:space="preserve">FACADE AKRYL / OLIE BASE A</t>
  </si>
  <si>
    <t xml:space="preserve">TRÆBESKYTTELSE HELDÆKKENDE VANDIG BASE C</t>
  </si>
  <si>
    <t xml:space="preserve">TRÆBESKYTTELSE HELDÆKKENDE VANDIG BASE A</t>
  </si>
  <si>
    <t xml:space="preserve">TRÆBESKYTTELSE TRANSPARENT OLIEBASERET SORT</t>
  </si>
  <si>
    <t xml:space="preserve">TRÆBESKYTTELSE TRANSPARENT OLIEBASERET PINE</t>
  </si>
  <si>
    <t xml:space="preserve">TRÆBESKYTTELSE TRANSPARENT OLIEBASERET NØD</t>
  </si>
  <si>
    <t xml:space="preserve">TRÆBESKYTTELSE TRANSPARENT OLIEBASERET MAHOGNI</t>
  </si>
  <si>
    <t xml:space="preserve">TRÆBESKYTTELSE TRANSPARENT OLIEBASERET TEAK</t>
  </si>
  <si>
    <t xml:space="preserve">TRÆBESKYTTELSE TRANSPARENT OLIEBASERET IMPR. GRØN</t>
  </si>
  <si>
    <t xml:space="preserve">UDE RENS 1.10</t>
  </si>
  <si>
    <t xml:space="preserve">SOKKEL MALING GLANS 20 BASE C</t>
  </si>
  <si>
    <t xml:space="preserve">TERRESSEOLIE PINE</t>
  </si>
  <si>
    <t xml:space="preserve">TERRESSEOLIE SORT</t>
  </si>
  <si>
    <t xml:space="preserve">TERRESSEOLIE MAHOGNI</t>
  </si>
  <si>
    <t xml:space="preserve">TERRESSEOLIE TEAK</t>
  </si>
  <si>
    <t xml:space="preserve">WWP AQUAWRITE HIGH PERFORMANCE WHITEBOARD KIT 5M2 WHITE</t>
  </si>
  <si>
    <t xml:space="preserve">5 M2 + 5 M2</t>
  </si>
  <si>
    <t xml:space="preserve">Vægbeklædning/whiteboard – shoppen har Glasfilt/Glasvæv/Mag+ til 0 kr</t>
  </si>
  <si>
    <t xml:space="preserve">WWP AQUAWRITE HIGH PERFORMANCE WHITEBOARD KIT 5M2 CLEAR</t>
  </si>
  <si>
    <t xml:space="preserve">WWP AQUAWRITE HIGH PERFORMANCE WHITEBOARD 5M2 WHITE A + B</t>
  </si>
  <si>
    <t xml:space="preserve">5 M2</t>
  </si>
  <si>
    <t xml:space="preserve">WWP AQUAWRITE HIGH PERFORMANCE WHITEBOARD 5M2 CLEAR A + B</t>
  </si>
  <si>
    <t xml:space="preserve">WWP MAG+ MAGNETIC WALLCOVERING 5M2 (5,2 X 0,95)</t>
  </si>
  <si>
    <t xml:space="preserve">WWP MAG+ MAGNETIC WALLCOVERING 10M2 (10,4 X 0,95)</t>
  </si>
  <si>
    <t xml:space="preserve">10 M2</t>
  </si>
  <si>
    <t xml:space="preserve">WWP MIRACLEWATER 250 ML</t>
  </si>
  <si>
    <t xml:space="preserve">250 ML</t>
  </si>
  <si>
    <t xml:space="preserve">WWP MIRACLECLEANER 250 ML</t>
  </si>
  <si>
    <t xml:space="preserve">WWP MIRACLEWATER 500 ML</t>
  </si>
  <si>
    <t xml:space="preserve">500 ML</t>
  </si>
  <si>
    <t xml:space="preserve">WWP MIRACLECLOTHS 10 STK 20 X 20 CM</t>
  </si>
  <si>
    <t xml:space="preserve">1 STK</t>
  </si>
  <si>
    <t xml:space="preserve">WWP MIRACLECLOTHS 2 STK 20 X 20 CM</t>
  </si>
  <si>
    <t xml:space="preserve">WWP MIRACLEGLOVE</t>
  </si>
  <si>
    <t xml:space="preserve">WWP MIRACLEMAGNETS 10 MM10 STK</t>
  </si>
  <si>
    <t xml:space="preserve">WWP MIRACLEMAGNETS 15 MM 10 STK</t>
  </si>
  <si>
    <t xml:space="preserve">WWP MIRACLEMAGNETS 20 MM10 STK</t>
  </si>
  <si>
    <t xml:space="preserve">WWP MIRACLEMAGNETS 25 MM 10 STK</t>
  </si>
  <si>
    <t xml:space="preserve">WWP MIRACLEMARKERS WB TUSSER 6 STK FARVER</t>
  </si>
  <si>
    <t xml:space="preserve">WWP MIRACLEMARKERS WB TUSSER 14 STK FARVER</t>
  </si>
  <si>
    <t xml:space="preserve">PILOT V BOARDMASTER WB TUSSER 5 STK FARVER</t>
  </si>
  <si>
    <t xml:space="preserve">VITRULAN GLASFILT 80 GRAM 1 KLASSE 50 METER</t>
  </si>
  <si>
    <t xml:space="preserve">1 KS</t>
  </si>
  <si>
    <t xml:space="preserve">VITRULAN GLASFILT 100 GRAM 1 KLASSE 50 METER</t>
  </si>
  <si>
    <t xml:space="preserve">VITRULAN GLASFILT 130 GRAM 1 KLASSE 50 METER</t>
  </si>
  <si>
    <t xml:space="preserve">VITRULAN GLASFILT 200 GRAM 1 KLASSE 50 METER</t>
  </si>
  <si>
    <t xml:space="preserve">Magnetic Whiteboars wallcovering Shiny 10,4 x 0,95 METER</t>
  </si>
  <si>
    <t xml:space="preserve">Magnetic Whiteboars wallcovering Shiny 5,2 x 0,95 METER</t>
  </si>
  <si>
    <t xml:space="preserve">Magnetic Whiteboars wallcovering Shiny 2,6 x 0,95 METER</t>
  </si>
  <si>
    <t xml:space="preserve">2,5 M2</t>
  </si>
  <si>
    <t xml:space="preserve">Magnetic Whiteboars wallcovering MAT 10,4 x 0,95 METER</t>
  </si>
  <si>
    <t xml:space="preserve">Magnetic Whiteboars wallcovering MAT 5,2 x 0,95 METER</t>
  </si>
  <si>
    <t xml:space="preserve">Magnetic Whiteboars wallcovering MAT 2,6 x 0,95 METER</t>
  </si>
  <si>
    <t xml:space="preserve">LF Yacht Lak</t>
  </si>
  <si>
    <t xml:space="preserve">LF Model Lak</t>
  </si>
  <si>
    <t xml:space="preserve">LF Festivals Lak</t>
  </si>
  <si>
    <t xml:space="preserve">200 L</t>
  </si>
  <si>
    <t xml:space="preserve">LF Beton Forsegler</t>
  </si>
  <si>
    <t xml:space="preserve">LF Container 2K Maling 2 i 1 A + B</t>
  </si>
  <si>
    <t xml:space="preserve">3 KG</t>
  </si>
  <si>
    <t xml:space="preserve">375 + 100</t>
  </si>
  <si>
    <t xml:space="preserve">5 KG</t>
  </si>
  <si>
    <t xml:space="preserve">625 + 200</t>
  </si>
  <si>
    <t xml:space="preserve">20 KG</t>
  </si>
  <si>
    <t xml:space="preserve">2000 + 400</t>
  </si>
  <si>
    <t xml:space="preserve">LF Maskine Maling 2K A + B</t>
  </si>
  <si>
    <t xml:space="preserve">LF OneCoat 2K A + B</t>
  </si>
  <si>
    <t xml:space="preserve">LF Anti Grafitti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</si>
</sst>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E7E6E6"/>
      </patternFill>
    </fill>
    <fill>
      <patternFill patternType="solid">
        <fgColor rgb="FFFCE8B2"/>
        <bgColor rgb="FFE7E6E6"/>
      </patternFill>
    </fill>
    <fill>
      <patternFill patternType="solid">
        <fgColor rgb="FFE7E6E6"/>
        <bgColor rgb="FFD9EAD3"/>
      </patternFill>
    </fill>
    <fill>
      <patternFill patternType="solid">
        <fgColor rgb="FFF4C7C3"/>
        <bgColor rgb="FFFCE8B2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CE8B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E7E6E6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8B2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2" t="n">
        <f aca="false">COUNTIF(Status!$K$2:$K$73,"FØLGER LISTEN")</f>
        <v>65</v>
      </c>
      <c r="C5" s="2" t="s">
        <v>6</v>
      </c>
    </row>
    <row r="6" customFormat="false" ht="15" hidden="false" customHeight="false" outlineLevel="0" collapsed="false">
      <c r="A6" s="5" t="s">
        <v>7</v>
      </c>
      <c r="B6" s="2" t="n">
        <f aca="false">COUNTIF(Status!$K$2:$K$73,"AFVIGER FRA LISTEN")</f>
        <v>5</v>
      </c>
      <c r="C6" s="2" t="s">
        <v>8</v>
      </c>
    </row>
    <row r="7" customFormat="false" ht="15" hidden="false" customHeight="false" outlineLevel="0" collapsed="false">
      <c r="A7" s="6" t="s">
        <v>9</v>
      </c>
      <c r="B7" s="2" t="n">
        <f aca="false">COUNTIF(Status!$K$2:$K$73,"INGEN LINJE PÅ LISTEN")</f>
        <v>2</v>
      </c>
      <c r="C7" s="2" t="s">
        <v>10</v>
      </c>
    </row>
    <row r="8" customFormat="false" ht="15" hidden="false" customHeight="false" outlineLevel="0" collapsed="false">
      <c r="A8" s="7" t="s">
        <v>11</v>
      </c>
      <c r="B8" s="2" t="n">
        <f aca="false">COUNTIF(Status!$K$2:$K$73,"0 KR I SHOPPEN")</f>
        <v>0</v>
      </c>
      <c r="C8" s="2" t="s">
        <v>12</v>
      </c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2" t="s">
        <v>13</v>
      </c>
      <c r="B10" s="8" t="n">
        <f aca="false">MEDIAN(Status!H2:H73)</f>
        <v>0.597639484978541</v>
      </c>
      <c r="C10" s="2"/>
    </row>
    <row r="11" customFormat="false" ht="15" hidden="false" customHeight="false" outlineLevel="0" collapsed="false">
      <c r="A11" s="2" t="s">
        <v>14</v>
      </c>
      <c r="B11" s="8" t="n">
        <f aca="false">MEDIAN(Status!F2:F73)</f>
        <v>1.01010101010101</v>
      </c>
      <c r="C11" s="2"/>
    </row>
    <row r="12" customFormat="false" ht="15" hidden="false" customHeight="false" outlineLevel="0" collapsed="false">
      <c r="A12" s="2"/>
      <c r="B12" s="2"/>
      <c r="C12" s="2"/>
    </row>
    <row r="13" customFormat="false" ht="15" hidden="false" customHeight="false" outlineLevel="0" collapsed="false">
      <c r="A13" s="3" t="s">
        <v>15</v>
      </c>
      <c r="B13" s="2"/>
      <c r="C13" s="2"/>
    </row>
    <row r="14" customFormat="false" ht="15" hidden="false" customHeight="false" outlineLevel="0" collapsed="false">
      <c r="A14" s="2" t="s">
        <v>16</v>
      </c>
      <c r="B14" s="2"/>
      <c r="C14" s="2"/>
    </row>
    <row r="15" customFormat="false" ht="15" hidden="false" customHeight="false" outlineLevel="0" collapsed="false">
      <c r="A15" s="2" t="s">
        <v>17</v>
      </c>
      <c r="B15" s="2"/>
      <c r="C15" s="2"/>
    </row>
    <row r="16" customFormat="false" ht="15" hidden="false" customHeight="false" outlineLevel="0" collapsed="false">
      <c r="A16" s="2" t="s">
        <v>18</v>
      </c>
      <c r="B16" s="2"/>
      <c r="C16" s="2"/>
    </row>
    <row r="17" customFormat="false" ht="15" hidden="false" customHeight="false" outlineLevel="0" collapsed="false">
      <c r="A17" s="2" t="s">
        <v>19</v>
      </c>
      <c r="B17" s="2"/>
      <c r="C17" s="2"/>
    </row>
    <row r="18" customFormat="false" ht="15" hidden="false" customHeight="false" outlineLevel="0" collapsed="false">
      <c r="A18" s="2" t="s">
        <v>20</v>
      </c>
      <c r="B18" s="2"/>
      <c r="C18" s="2"/>
    </row>
    <row r="19" customFormat="false" ht="15" hidden="false" customHeight="false" outlineLevel="0" collapsed="false">
      <c r="A19" s="2" t="s">
        <v>21</v>
      </c>
      <c r="B19" s="2"/>
      <c r="C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6" min="4" style="0" width="9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44"/>
    <col collapsed="false" customWidth="true" hidden="false" outlineLevel="0" max="11" min="11" style="0" width="22"/>
    <col collapsed="false" customWidth="true" hidden="false" outlineLevel="0" max="12" min="12" style="0" width="70"/>
  </cols>
  <sheetData>
    <row r="1" customFormat="false" ht="36" hidden="false" customHeight="true" outlineLevel="0" collapsed="false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2</v>
      </c>
      <c r="L1" s="9" t="s">
        <v>32</v>
      </c>
    </row>
    <row r="2" customFormat="false" ht="15" hidden="false" customHeight="false" outlineLevel="0" collapsed="false">
      <c r="A2" s="10" t="s">
        <v>33</v>
      </c>
      <c r="B2" s="10" t="s">
        <v>34</v>
      </c>
      <c r="C2" s="10" t="s">
        <v>35</v>
      </c>
      <c r="D2" s="11" t="n">
        <v>99</v>
      </c>
      <c r="E2" s="11" t="n">
        <v>199</v>
      </c>
      <c r="F2" s="12" t="n">
        <f aca="false">IF(OR(D2="",E2="",D2=0),"",E2/D2-1)</f>
        <v>1.01010101010101</v>
      </c>
      <c r="G2" s="13" t="n">
        <v>75</v>
      </c>
      <c r="H2" s="12" t="n">
        <f aca="false">IF(OR(G2="",E2=0),"",(E2/(1+Forudsætninger!$B$3)-G2)/(E2/(1+Forudsætninger!$B$3)))</f>
        <v>0.528894472361809</v>
      </c>
      <c r="I2" s="11" t="n">
        <v>199</v>
      </c>
      <c r="J2" s="10" t="s">
        <v>36</v>
      </c>
      <c r="K2" s="10" t="str">
        <f aca="false">IF(E2=0,"0 KR I SHOPPEN",IF(I2="","INGEN LINJE PÅ LISTEN",IF(E2=I2,"FØLGER LISTEN","AFVIGER FRA LISTEN")))</f>
        <v>FØLGER LISTEN</v>
      </c>
      <c r="L2" s="10" t="s">
        <v>37</v>
      </c>
    </row>
    <row r="3" customFormat="false" ht="15" hidden="false" customHeight="false" outlineLevel="0" collapsed="false">
      <c r="A3" s="10" t="s">
        <v>33</v>
      </c>
      <c r="B3" s="10" t="s">
        <v>34</v>
      </c>
      <c r="C3" s="10" t="s">
        <v>38</v>
      </c>
      <c r="D3" s="11" t="n">
        <v>99</v>
      </c>
      <c r="E3" s="11" t="n">
        <v>229</v>
      </c>
      <c r="F3" s="12" t="n">
        <f aca="false">IF(OR(D3="",E3="",D3=0),"",E3/D3-1)</f>
        <v>1.31313131313131</v>
      </c>
      <c r="G3" s="13"/>
      <c r="H3" s="12" t="str">
        <f aca="false">IF(OR(G3="",E3=0),"",(E3/(1+Forudsætninger!$B$3)-G3)/(E3/(1+Forudsætninger!$B$3)))</f>
        <v/>
      </c>
      <c r="I3" s="11" t="n">
        <v>229</v>
      </c>
      <c r="J3" s="10" t="s">
        <v>39</v>
      </c>
      <c r="K3" s="10" t="str">
        <f aca="false">IF(E3=0,"0 KR I SHOPPEN",IF(I3="","INGEN LINJE PÅ LISTEN",IF(E3=I3,"FØLGER LISTEN","AFVIGER FRA LISTEN")))</f>
        <v>FØLGER LISTEN</v>
      </c>
      <c r="L3" s="10" t="s">
        <v>40</v>
      </c>
    </row>
    <row r="4" customFormat="false" ht="15" hidden="false" customHeight="false" outlineLevel="0" collapsed="false">
      <c r="A4" s="10" t="s">
        <v>33</v>
      </c>
      <c r="B4" s="10" t="s">
        <v>41</v>
      </c>
      <c r="C4" s="10" t="s">
        <v>35</v>
      </c>
      <c r="D4" s="11" t="n">
        <v>199</v>
      </c>
      <c r="E4" s="11" t="n">
        <v>399</v>
      </c>
      <c r="F4" s="12" t="n">
        <f aca="false">IF(OR(D4="",E4="",D4=0),"",E4/D4-1)</f>
        <v>1.00502512562814</v>
      </c>
      <c r="G4" s="13" t="n">
        <v>165</v>
      </c>
      <c r="H4" s="12" t="n">
        <f aca="false">IF(OR(G4="",E4=0),"",(E4/(1+Forudsætninger!$B$3)-G4)/(E4/(1+Forudsætninger!$B$3)))</f>
        <v>0.483082706766917</v>
      </c>
      <c r="I4" s="11" t="n">
        <v>399</v>
      </c>
      <c r="J4" s="10" t="s">
        <v>42</v>
      </c>
      <c r="K4" s="10" t="str">
        <f aca="false">IF(E4=0,"0 KR I SHOPPEN",IF(I4="","INGEN LINJE PÅ LISTEN",IF(E4=I4,"FØLGER LISTEN","AFVIGER FRA LISTEN")))</f>
        <v>FØLGER LISTEN</v>
      </c>
      <c r="L4" s="10" t="s">
        <v>40</v>
      </c>
    </row>
    <row r="5" customFormat="false" ht="15" hidden="false" customHeight="false" outlineLevel="0" collapsed="false">
      <c r="A5" s="10" t="s">
        <v>33</v>
      </c>
      <c r="B5" s="10" t="s">
        <v>41</v>
      </c>
      <c r="C5" s="10" t="s">
        <v>38</v>
      </c>
      <c r="D5" s="11" t="n">
        <v>199</v>
      </c>
      <c r="E5" s="11" t="n">
        <v>449</v>
      </c>
      <c r="F5" s="12" t="n">
        <f aca="false">IF(OR(D5="",E5="",D5=0),"",E5/D5-1)</f>
        <v>1.25628140703518</v>
      </c>
      <c r="G5" s="13"/>
      <c r="H5" s="12" t="str">
        <f aca="false">IF(OR(G5="",E5=0),"",(E5/(1+Forudsætninger!$B$3)-G5)/(E5/(1+Forudsætninger!$B$3)))</f>
        <v/>
      </c>
      <c r="I5" s="11" t="n">
        <v>449</v>
      </c>
      <c r="J5" s="10" t="s">
        <v>43</v>
      </c>
      <c r="K5" s="10" t="str">
        <f aca="false">IF(E5=0,"0 KR I SHOPPEN",IF(I5="","INGEN LINJE PÅ LISTEN",IF(E5=I5,"FØLGER LISTEN","AFVIGER FRA LISTEN")))</f>
        <v>FØLGER LISTEN</v>
      </c>
      <c r="L5" s="10" t="s">
        <v>40</v>
      </c>
    </row>
    <row r="6" customFormat="false" ht="15" hidden="false" customHeight="false" outlineLevel="0" collapsed="false">
      <c r="A6" s="10" t="s">
        <v>33</v>
      </c>
      <c r="B6" s="10" t="s">
        <v>44</v>
      </c>
      <c r="C6" s="10" t="s">
        <v>35</v>
      </c>
      <c r="D6" s="11" t="n">
        <v>299</v>
      </c>
      <c r="E6" s="11" t="n">
        <v>699</v>
      </c>
      <c r="F6" s="12" t="n">
        <f aca="false">IF(OR(D6="",E6="",D6=0),"",E6/D6-1)</f>
        <v>1.33779264214047</v>
      </c>
      <c r="G6" s="13" t="n">
        <v>225</v>
      </c>
      <c r="H6" s="12" t="n">
        <f aca="false">IF(OR(G6="",E6=0),"",(E6/(1+Forudsætninger!$B$3)-G6)/(E6/(1+Forudsætninger!$B$3)))</f>
        <v>0.597639484978541</v>
      </c>
      <c r="I6" s="11" t="n">
        <v>699</v>
      </c>
      <c r="J6" s="10" t="s">
        <v>45</v>
      </c>
      <c r="K6" s="10" t="str">
        <f aca="false">IF(E6=0,"0 KR I SHOPPEN",IF(I6="","INGEN LINJE PÅ LISTEN",IF(E6=I6,"FØLGER LISTEN","AFVIGER FRA LISTEN")))</f>
        <v>FØLGER LISTEN</v>
      </c>
      <c r="L6" s="10" t="s">
        <v>40</v>
      </c>
    </row>
    <row r="7" customFormat="false" ht="15" hidden="false" customHeight="false" outlineLevel="0" collapsed="false">
      <c r="A7" s="10" t="s">
        <v>33</v>
      </c>
      <c r="B7" s="10" t="s">
        <v>44</v>
      </c>
      <c r="C7" s="10" t="s">
        <v>38</v>
      </c>
      <c r="D7" s="11" t="n">
        <v>299</v>
      </c>
      <c r="E7" s="11" t="n">
        <v>699</v>
      </c>
      <c r="F7" s="12" t="n">
        <f aca="false">IF(OR(D7="",E7="",D7=0),"",E7/D7-1)</f>
        <v>1.33779264214047</v>
      </c>
      <c r="G7" s="13"/>
      <c r="H7" s="12" t="str">
        <f aca="false">IF(OR(G7="",E7=0),"",(E7/(1+Forudsætninger!$B$3)-G7)/(E7/(1+Forudsætninger!$B$3)))</f>
        <v/>
      </c>
      <c r="I7" s="11" t="n">
        <v>699</v>
      </c>
      <c r="J7" s="10" t="s">
        <v>46</v>
      </c>
      <c r="K7" s="10" t="str">
        <f aca="false">IF(E7=0,"0 KR I SHOPPEN",IF(I7="","INGEN LINJE PÅ LISTEN",IF(E7=I7,"FØLGER LISTEN","AFVIGER FRA LISTEN")))</f>
        <v>FØLGER LISTEN</v>
      </c>
      <c r="L7" s="10" t="s">
        <v>40</v>
      </c>
    </row>
    <row r="8" customFormat="false" ht="15" hidden="false" customHeight="false" outlineLevel="0" collapsed="false">
      <c r="A8" s="10" t="s">
        <v>33</v>
      </c>
      <c r="B8" s="10" t="s">
        <v>47</v>
      </c>
      <c r="C8" s="10" t="s">
        <v>35</v>
      </c>
      <c r="D8" s="11" t="n">
        <v>499</v>
      </c>
      <c r="E8" s="11" t="n">
        <v>1099</v>
      </c>
      <c r="F8" s="12" t="n">
        <f aca="false">IF(OR(D8="",E8="",D8=0),"",E8/D8-1)</f>
        <v>1.20240480961924</v>
      </c>
      <c r="G8" s="13" t="n">
        <v>250</v>
      </c>
      <c r="H8" s="12" t="n">
        <f aca="false">IF(OR(G8="",E8=0),"",(E8/(1+Forudsætninger!$B$3)-G8)/(E8/(1+Forudsætninger!$B$3)))</f>
        <v>0.71565059144677</v>
      </c>
      <c r="I8" s="11" t="n">
        <v>1099</v>
      </c>
      <c r="J8" s="10" t="s">
        <v>48</v>
      </c>
      <c r="K8" s="10" t="str">
        <f aca="false">IF(E8=0,"0 KR I SHOPPEN",IF(I8="","INGEN LINJE PÅ LISTEN",IF(E8=I8,"FØLGER LISTEN","AFVIGER FRA LISTEN")))</f>
        <v>FØLGER LISTEN</v>
      </c>
      <c r="L8" s="10" t="s">
        <v>40</v>
      </c>
    </row>
    <row r="9" customFormat="false" ht="15" hidden="false" customHeight="false" outlineLevel="0" collapsed="false">
      <c r="A9" s="10" t="s">
        <v>33</v>
      </c>
      <c r="B9" s="10" t="s">
        <v>47</v>
      </c>
      <c r="C9" s="10" t="s">
        <v>38</v>
      </c>
      <c r="D9" s="11" t="n">
        <v>499</v>
      </c>
      <c r="E9" s="11" t="n">
        <v>1199</v>
      </c>
      <c r="F9" s="12" t="n">
        <f aca="false">IF(OR(D9="",E9="",D9=0),"",E9/D9-1)</f>
        <v>1.40280561122245</v>
      </c>
      <c r="G9" s="13"/>
      <c r="H9" s="12" t="str">
        <f aca="false">IF(OR(G9="",E9=0),"",(E9/(1+Forudsætninger!$B$3)-G9)/(E9/(1+Forudsætninger!$B$3)))</f>
        <v/>
      </c>
      <c r="I9" s="11" t="n">
        <v>1199</v>
      </c>
      <c r="J9" s="10" t="s">
        <v>49</v>
      </c>
      <c r="K9" s="10" t="str">
        <f aca="false">IF(E9=0,"0 KR I SHOPPEN",IF(I9="","INGEN LINJE PÅ LISTEN",IF(E9=I9,"FØLGER LISTEN","AFVIGER FRA LISTEN")))</f>
        <v>FØLGER LISTEN</v>
      </c>
      <c r="L9" s="10" t="s">
        <v>40</v>
      </c>
    </row>
    <row r="10" customFormat="false" ht="15" hidden="false" customHeight="false" outlineLevel="0" collapsed="false">
      <c r="A10" s="10" t="s">
        <v>50</v>
      </c>
      <c r="B10" s="10" t="s">
        <v>34</v>
      </c>
      <c r="C10" s="10" t="s">
        <v>35</v>
      </c>
      <c r="D10" s="11" t="n">
        <v>99</v>
      </c>
      <c r="E10" s="11" t="n">
        <v>229</v>
      </c>
      <c r="F10" s="12" t="n">
        <f aca="false">IF(OR(D10="",E10="",D10=0),"",E10/D10-1)</f>
        <v>1.31313131313131</v>
      </c>
      <c r="G10" s="13" t="n">
        <v>100</v>
      </c>
      <c r="H10" s="12" t="n">
        <f aca="false">IF(OR(G10="",E10=0),"",(E10/(1+Forudsætninger!$B$3)-G10)/(E10/(1+Forudsætninger!$B$3)))</f>
        <v>0.454148471615721</v>
      </c>
      <c r="I10" s="11" t="n">
        <v>229</v>
      </c>
      <c r="J10" s="10" t="s">
        <v>51</v>
      </c>
      <c r="K10" s="10" t="str">
        <f aca="false">IF(E10=0,"0 KR I SHOPPEN",IF(I10="","INGEN LINJE PÅ LISTEN",IF(E10=I10,"FØLGER LISTEN","AFVIGER FRA LISTEN")))</f>
        <v>FØLGER LISTEN</v>
      </c>
      <c r="L10" s="10" t="s">
        <v>52</v>
      </c>
    </row>
    <row r="11" customFormat="false" ht="15" hidden="false" customHeight="false" outlineLevel="0" collapsed="false">
      <c r="A11" s="10" t="s">
        <v>50</v>
      </c>
      <c r="B11" s="10" t="s">
        <v>34</v>
      </c>
      <c r="C11" s="10" t="s">
        <v>38</v>
      </c>
      <c r="D11" s="11" t="n">
        <v>99</v>
      </c>
      <c r="E11" s="11" t="n">
        <v>249</v>
      </c>
      <c r="F11" s="12" t="n">
        <f aca="false">IF(OR(D11="",E11="",D11=0),"",E11/D11-1)</f>
        <v>1.51515151515152</v>
      </c>
      <c r="G11" s="13"/>
      <c r="H11" s="12" t="str">
        <f aca="false">IF(OR(G11="",E11=0),"",(E11/(1+Forudsætninger!$B$3)-G11)/(E11/(1+Forudsætninger!$B$3)))</f>
        <v/>
      </c>
      <c r="I11" s="11" t="n">
        <v>249</v>
      </c>
      <c r="J11" s="10" t="s">
        <v>53</v>
      </c>
      <c r="K11" s="10" t="str">
        <f aca="false">IF(E11=0,"0 KR I SHOPPEN",IF(I11="","INGEN LINJE PÅ LISTEN",IF(E11=I11,"FØLGER LISTEN","AFVIGER FRA LISTEN")))</f>
        <v>FØLGER LISTEN</v>
      </c>
      <c r="L11" s="10" t="s">
        <v>40</v>
      </c>
    </row>
    <row r="12" customFormat="false" ht="15" hidden="false" customHeight="false" outlineLevel="0" collapsed="false">
      <c r="A12" s="10" t="s">
        <v>50</v>
      </c>
      <c r="B12" s="10" t="s">
        <v>41</v>
      </c>
      <c r="C12" s="10" t="s">
        <v>35</v>
      </c>
      <c r="D12" s="11" t="n">
        <v>299</v>
      </c>
      <c r="E12" s="11" t="n">
        <v>529</v>
      </c>
      <c r="F12" s="12" t="n">
        <f aca="false">IF(OR(D12="",E12="",D12=0),"",E12/D12-1)</f>
        <v>0.769230769230769</v>
      </c>
      <c r="G12" s="13" t="n">
        <v>175</v>
      </c>
      <c r="H12" s="12" t="n">
        <f aca="false">IF(OR(G12="",E12=0),"",(E12/(1+Forudsætninger!$B$3)-G12)/(E12/(1+Forudsætninger!$B$3)))</f>
        <v>0.58648393194707</v>
      </c>
      <c r="I12" s="11" t="n">
        <v>529</v>
      </c>
      <c r="J12" s="10" t="s">
        <v>54</v>
      </c>
      <c r="K12" s="10" t="str">
        <f aca="false">IF(E12=0,"0 KR I SHOPPEN",IF(I12="","INGEN LINJE PÅ LISTEN",IF(E12=I12,"FØLGER LISTEN","AFVIGER FRA LISTEN")))</f>
        <v>FØLGER LISTEN</v>
      </c>
      <c r="L12" s="10" t="s">
        <v>40</v>
      </c>
    </row>
    <row r="13" customFormat="false" ht="15" hidden="false" customHeight="false" outlineLevel="0" collapsed="false">
      <c r="A13" s="10" t="s">
        <v>50</v>
      </c>
      <c r="B13" s="10" t="s">
        <v>41</v>
      </c>
      <c r="C13" s="10" t="s">
        <v>38</v>
      </c>
      <c r="D13" s="11" t="n">
        <v>299</v>
      </c>
      <c r="E13" s="11" t="n">
        <v>529</v>
      </c>
      <c r="F13" s="12" t="n">
        <f aca="false">IF(OR(D13="",E13="",D13=0),"",E13/D13-1)</f>
        <v>0.769230769230769</v>
      </c>
      <c r="G13" s="13"/>
      <c r="H13" s="12" t="str">
        <f aca="false">IF(OR(G13="",E13=0),"",(E13/(1+Forudsætninger!$B$3)-G13)/(E13/(1+Forudsætninger!$B$3)))</f>
        <v/>
      </c>
      <c r="I13" s="11" t="n">
        <v>529</v>
      </c>
      <c r="J13" s="10" t="s">
        <v>55</v>
      </c>
      <c r="K13" s="10" t="str">
        <f aca="false">IF(E13=0,"0 KR I SHOPPEN",IF(I13="","INGEN LINJE PÅ LISTEN",IF(E13=I13,"FØLGER LISTEN","AFVIGER FRA LISTEN")))</f>
        <v>FØLGER LISTEN</v>
      </c>
      <c r="L13" s="10" t="s">
        <v>40</v>
      </c>
    </row>
    <row r="14" customFormat="false" ht="15" hidden="false" customHeight="false" outlineLevel="0" collapsed="false">
      <c r="A14" s="10" t="s">
        <v>50</v>
      </c>
      <c r="B14" s="10" t="s">
        <v>44</v>
      </c>
      <c r="C14" s="10" t="s">
        <v>35</v>
      </c>
      <c r="D14" s="11" t="n">
        <v>399</v>
      </c>
      <c r="E14" s="11" t="n">
        <v>749</v>
      </c>
      <c r="F14" s="12" t="n">
        <f aca="false">IF(OR(D14="",E14="",D14=0),"",E14/D14-1)</f>
        <v>0.87719298245614</v>
      </c>
      <c r="G14" s="13" t="n">
        <v>275</v>
      </c>
      <c r="H14" s="12" t="n">
        <f aca="false">IF(OR(G14="",E14=0),"",(E14/(1+Forudsætninger!$B$3)-G14)/(E14/(1+Forudsætninger!$B$3)))</f>
        <v>0.541054739652871</v>
      </c>
      <c r="I14" s="11" t="n">
        <v>749</v>
      </c>
      <c r="J14" s="10" t="s">
        <v>56</v>
      </c>
      <c r="K14" s="10" t="str">
        <f aca="false">IF(E14=0,"0 KR I SHOPPEN",IF(I14="","INGEN LINJE PÅ LISTEN",IF(E14=I14,"FØLGER LISTEN","AFVIGER FRA LISTEN")))</f>
        <v>FØLGER LISTEN</v>
      </c>
      <c r="L14" s="10" t="s">
        <v>40</v>
      </c>
    </row>
    <row r="15" customFormat="false" ht="15" hidden="false" customHeight="false" outlineLevel="0" collapsed="false">
      <c r="A15" s="10" t="s">
        <v>50</v>
      </c>
      <c r="B15" s="10" t="s">
        <v>44</v>
      </c>
      <c r="C15" s="10" t="s">
        <v>38</v>
      </c>
      <c r="D15" s="11" t="n">
        <v>399</v>
      </c>
      <c r="E15" s="11" t="n">
        <v>849</v>
      </c>
      <c r="F15" s="12" t="n">
        <f aca="false">IF(OR(D15="",E15="",D15=0),"",E15/D15-1)</f>
        <v>1.12781954887218</v>
      </c>
      <c r="G15" s="13"/>
      <c r="H15" s="12" t="str">
        <f aca="false">IF(OR(G15="",E15=0),"",(E15/(1+Forudsætninger!$B$3)-G15)/(E15/(1+Forudsætninger!$B$3)))</f>
        <v/>
      </c>
      <c r="I15" s="11" t="n">
        <v>849</v>
      </c>
      <c r="J15" s="10" t="s">
        <v>57</v>
      </c>
      <c r="K15" s="10" t="str">
        <f aca="false">IF(E15=0,"0 KR I SHOPPEN",IF(I15="","INGEN LINJE PÅ LISTEN",IF(E15=I15,"FØLGER LISTEN","AFVIGER FRA LISTEN")))</f>
        <v>FØLGER LISTEN</v>
      </c>
      <c r="L15" s="10" t="s">
        <v>40</v>
      </c>
    </row>
    <row r="16" customFormat="false" ht="15" hidden="false" customHeight="false" outlineLevel="0" collapsed="false">
      <c r="A16" s="10" t="s">
        <v>50</v>
      </c>
      <c r="B16" s="10" t="s">
        <v>47</v>
      </c>
      <c r="C16" s="10" t="s">
        <v>35</v>
      </c>
      <c r="D16" s="11" t="n">
        <v>499</v>
      </c>
      <c r="E16" s="11" t="n">
        <v>1249</v>
      </c>
      <c r="F16" s="12" t="n">
        <f aca="false">IF(OR(D16="",E16="",D16=0),"",E16/D16-1)</f>
        <v>1.50300601202405</v>
      </c>
      <c r="G16" s="13" t="n">
        <v>300</v>
      </c>
      <c r="H16" s="12" t="n">
        <f aca="false">IF(OR(G16="",E16=0),"",(E16/(1+Forudsætninger!$B$3)-G16)/(E16/(1+Forudsætninger!$B$3)))</f>
        <v>0.699759807846277</v>
      </c>
      <c r="I16" s="11" t="n">
        <v>1249</v>
      </c>
      <c r="J16" s="10" t="s">
        <v>58</v>
      </c>
      <c r="K16" s="10" t="str">
        <f aca="false">IF(E16=0,"0 KR I SHOPPEN",IF(I16="","INGEN LINJE PÅ LISTEN",IF(E16=I16,"FØLGER LISTEN","AFVIGER FRA LISTEN")))</f>
        <v>FØLGER LISTEN</v>
      </c>
      <c r="L16" s="10" t="s">
        <v>40</v>
      </c>
    </row>
    <row r="17" customFormat="false" ht="15" hidden="false" customHeight="false" outlineLevel="0" collapsed="false">
      <c r="A17" s="10" t="s">
        <v>50</v>
      </c>
      <c r="B17" s="10" t="s">
        <v>47</v>
      </c>
      <c r="C17" s="10" t="s">
        <v>38</v>
      </c>
      <c r="D17" s="11" t="n">
        <v>499</v>
      </c>
      <c r="E17" s="11" t="n">
        <v>1349</v>
      </c>
      <c r="F17" s="12" t="n">
        <f aca="false">IF(OR(D17="",E17="",D17=0),"",E17/D17-1)</f>
        <v>1.70340681362725</v>
      </c>
      <c r="G17" s="13"/>
      <c r="H17" s="12" t="str">
        <f aca="false">IF(OR(G17="",E17=0),"",(E17/(1+Forudsætninger!$B$3)-G17)/(E17/(1+Forudsætninger!$B$3)))</f>
        <v/>
      </c>
      <c r="I17" s="11" t="n">
        <v>1349</v>
      </c>
      <c r="J17" s="10" t="s">
        <v>59</v>
      </c>
      <c r="K17" s="10" t="str">
        <f aca="false">IF(E17=0,"0 KR I SHOPPEN",IF(I17="","INGEN LINJE PÅ LISTEN",IF(E17=I17,"FØLGER LISTEN","AFVIGER FRA LISTEN")))</f>
        <v>FØLGER LISTEN</v>
      </c>
      <c r="L17" s="10" t="s">
        <v>40</v>
      </c>
    </row>
    <row r="18" customFormat="false" ht="15" hidden="false" customHeight="false" outlineLevel="0" collapsed="false">
      <c r="A18" s="10" t="s">
        <v>60</v>
      </c>
      <c r="B18" s="10" t="s">
        <v>34</v>
      </c>
      <c r="C18" s="10" t="s">
        <v>35</v>
      </c>
      <c r="D18" s="11" t="n">
        <v>89</v>
      </c>
      <c r="E18" s="11" t="n">
        <v>189</v>
      </c>
      <c r="F18" s="12" t="n">
        <f aca="false">IF(OR(D18="",E18="",D18=0),"",E18/D18-1)</f>
        <v>1.12359550561798</v>
      </c>
      <c r="G18" s="13" t="n">
        <v>75</v>
      </c>
      <c r="H18" s="12" t="n">
        <f aca="false">IF(OR(G18="",E18=0),"",(E18/(1+Forudsætninger!$B$3)-G18)/(E18/(1+Forudsætninger!$B$3)))</f>
        <v>0.503968253968254</v>
      </c>
      <c r="I18" s="11" t="n">
        <v>189</v>
      </c>
      <c r="J18" s="10" t="s">
        <v>61</v>
      </c>
      <c r="K18" s="10" t="str">
        <f aca="false">IF(E18=0,"0 KR I SHOPPEN",IF(I18="","INGEN LINJE PÅ LISTEN",IF(E18=I18,"FØLGER LISTEN","AFVIGER FRA LISTEN")))</f>
        <v>FØLGER LISTEN</v>
      </c>
      <c r="L18" s="10" t="s">
        <v>62</v>
      </c>
    </row>
    <row r="19" customFormat="false" ht="15" hidden="false" customHeight="false" outlineLevel="0" collapsed="false">
      <c r="A19" s="10" t="s">
        <v>60</v>
      </c>
      <c r="B19" s="10" t="s">
        <v>34</v>
      </c>
      <c r="C19" s="10" t="s">
        <v>38</v>
      </c>
      <c r="D19" s="11" t="n">
        <v>89</v>
      </c>
      <c r="E19" s="11" t="n">
        <v>189</v>
      </c>
      <c r="F19" s="12" t="n">
        <f aca="false">IF(OR(D19="",E19="",D19=0),"",E19/D19-1)</f>
        <v>1.12359550561798</v>
      </c>
      <c r="G19" s="13" t="n">
        <v>75</v>
      </c>
      <c r="H19" s="12" t="n">
        <f aca="false">IF(OR(G19="",E19=0),"",(E19/(1+Forudsætninger!$B$3)-G19)/(E19/(1+Forudsætninger!$B$3)))</f>
        <v>0.503968253968254</v>
      </c>
      <c r="I19" s="11" t="n">
        <v>189</v>
      </c>
      <c r="J19" s="10" t="s">
        <v>61</v>
      </c>
      <c r="K19" s="10" t="str">
        <f aca="false">IF(E19=0,"0 KR I SHOPPEN",IF(I19="","INGEN LINJE PÅ LISTEN",IF(E19=I19,"FØLGER LISTEN","AFVIGER FRA LISTEN")))</f>
        <v>FØLGER LISTEN</v>
      </c>
      <c r="L19" s="10" t="s">
        <v>40</v>
      </c>
    </row>
    <row r="20" customFormat="false" ht="15" hidden="false" customHeight="false" outlineLevel="0" collapsed="false">
      <c r="A20" s="10" t="s">
        <v>60</v>
      </c>
      <c r="B20" s="10" t="s">
        <v>41</v>
      </c>
      <c r="C20" s="10" t="s">
        <v>35</v>
      </c>
      <c r="D20" s="11" t="n">
        <v>179</v>
      </c>
      <c r="E20" s="11" t="n">
        <v>329</v>
      </c>
      <c r="F20" s="12" t="n">
        <f aca="false">IF(OR(D20="",E20="",D20=0),"",E20/D20-1)</f>
        <v>0.837988826815642</v>
      </c>
      <c r="G20" s="13" t="n">
        <v>165</v>
      </c>
      <c r="H20" s="12" t="n">
        <f aca="false">IF(OR(G20="",E20=0),"",(E20/(1+Forudsætninger!$B$3)-G20)/(E20/(1+Forudsætninger!$B$3)))</f>
        <v>0.373100303951368</v>
      </c>
      <c r="I20" s="11" t="n">
        <v>329</v>
      </c>
      <c r="J20" s="10" t="s">
        <v>63</v>
      </c>
      <c r="K20" s="10" t="str">
        <f aca="false">IF(E20=0,"0 KR I SHOPPEN",IF(I20="","INGEN LINJE PÅ LISTEN",IF(E20=I20,"FØLGER LISTEN","AFVIGER FRA LISTEN")))</f>
        <v>FØLGER LISTEN</v>
      </c>
      <c r="L20" s="10" t="s">
        <v>40</v>
      </c>
    </row>
    <row r="21" customFormat="false" ht="15" hidden="false" customHeight="false" outlineLevel="0" collapsed="false">
      <c r="A21" s="10" t="s">
        <v>60</v>
      </c>
      <c r="B21" s="10" t="s">
        <v>41</v>
      </c>
      <c r="C21" s="10" t="s">
        <v>38</v>
      </c>
      <c r="D21" s="11" t="n">
        <v>179</v>
      </c>
      <c r="E21" s="11" t="n">
        <v>329</v>
      </c>
      <c r="F21" s="12" t="n">
        <f aca="false">IF(OR(D21="",E21="",D21=0),"",E21/D21-1)</f>
        <v>0.837988826815642</v>
      </c>
      <c r="G21" s="13" t="n">
        <v>165</v>
      </c>
      <c r="H21" s="12" t="n">
        <f aca="false">IF(OR(G21="",E21=0),"",(E21/(1+Forudsætninger!$B$3)-G21)/(E21/(1+Forudsætninger!$B$3)))</f>
        <v>0.373100303951368</v>
      </c>
      <c r="I21" s="11" t="n">
        <v>329</v>
      </c>
      <c r="J21" s="10" t="s">
        <v>63</v>
      </c>
      <c r="K21" s="10" t="str">
        <f aca="false">IF(E21=0,"0 KR I SHOPPEN",IF(I21="","INGEN LINJE PÅ LISTEN",IF(E21=I21,"FØLGER LISTEN","AFVIGER FRA LISTEN")))</f>
        <v>FØLGER LISTEN</v>
      </c>
      <c r="L21" s="10" t="s">
        <v>40</v>
      </c>
    </row>
    <row r="22" customFormat="false" ht="15" hidden="false" customHeight="false" outlineLevel="0" collapsed="false">
      <c r="A22" s="10" t="s">
        <v>60</v>
      </c>
      <c r="B22" s="10" t="s">
        <v>44</v>
      </c>
      <c r="C22" s="10" t="s">
        <v>35</v>
      </c>
      <c r="D22" s="11" t="n">
        <v>279</v>
      </c>
      <c r="E22" s="11" t="n">
        <v>599</v>
      </c>
      <c r="F22" s="12" t="n">
        <f aca="false">IF(OR(D22="",E22="",D22=0),"",E22/D22-1)</f>
        <v>1.14695340501792</v>
      </c>
      <c r="G22" s="13" t="n">
        <v>225</v>
      </c>
      <c r="H22" s="12" t="n">
        <f aca="false">IF(OR(G22="",E22=0),"",(E22/(1+Forudsætninger!$B$3)-G22)/(E22/(1+Forudsætninger!$B$3)))</f>
        <v>0.530467445742905</v>
      </c>
      <c r="I22" s="11" t="n">
        <v>599</v>
      </c>
      <c r="J22" s="10" t="s">
        <v>64</v>
      </c>
      <c r="K22" s="10" t="str">
        <f aca="false">IF(E22=0,"0 KR I SHOPPEN",IF(I22="","INGEN LINJE PÅ LISTEN",IF(E22=I22,"FØLGER LISTEN","AFVIGER FRA LISTEN")))</f>
        <v>FØLGER LISTEN</v>
      </c>
      <c r="L22" s="10" t="s">
        <v>40</v>
      </c>
    </row>
    <row r="23" customFormat="false" ht="15" hidden="false" customHeight="false" outlineLevel="0" collapsed="false">
      <c r="A23" s="10" t="s">
        <v>60</v>
      </c>
      <c r="B23" s="10" t="s">
        <v>44</v>
      </c>
      <c r="C23" s="10" t="s">
        <v>38</v>
      </c>
      <c r="D23" s="11" t="n">
        <v>279</v>
      </c>
      <c r="E23" s="11" t="n">
        <v>599</v>
      </c>
      <c r="F23" s="12" t="n">
        <f aca="false">IF(OR(D23="",E23="",D23=0),"",E23/D23-1)</f>
        <v>1.14695340501792</v>
      </c>
      <c r="G23" s="13" t="n">
        <v>225</v>
      </c>
      <c r="H23" s="12" t="n">
        <f aca="false">IF(OR(G23="",E23=0),"",(E23/(1+Forudsætninger!$B$3)-G23)/(E23/(1+Forudsætninger!$B$3)))</f>
        <v>0.530467445742905</v>
      </c>
      <c r="I23" s="11" t="n">
        <v>599</v>
      </c>
      <c r="J23" s="10" t="s">
        <v>64</v>
      </c>
      <c r="K23" s="10" t="str">
        <f aca="false">IF(E23=0,"0 KR I SHOPPEN",IF(I23="","INGEN LINJE PÅ LISTEN",IF(E23=I23,"FØLGER LISTEN","AFVIGER FRA LISTEN")))</f>
        <v>FØLGER LISTEN</v>
      </c>
      <c r="L23" s="10" t="s">
        <v>40</v>
      </c>
    </row>
    <row r="24" customFormat="false" ht="15" hidden="false" customHeight="false" outlineLevel="0" collapsed="false">
      <c r="A24" s="10" t="s">
        <v>60</v>
      </c>
      <c r="B24" s="10" t="s">
        <v>47</v>
      </c>
      <c r="C24" s="10" t="s">
        <v>35</v>
      </c>
      <c r="D24" s="11" t="n">
        <v>469</v>
      </c>
      <c r="E24" s="11" t="n">
        <v>999</v>
      </c>
      <c r="F24" s="12" t="n">
        <f aca="false">IF(OR(D24="",E24="",D24=0),"",E24/D24-1)</f>
        <v>1.13006396588486</v>
      </c>
      <c r="G24" s="13" t="n">
        <v>250</v>
      </c>
      <c r="H24" s="12" t="n">
        <f aca="false">IF(OR(G24="",E24=0),"",(E24/(1+Forudsætninger!$B$3)-G24)/(E24/(1+Forudsætninger!$B$3)))</f>
        <v>0.687187187187187</v>
      </c>
      <c r="I24" s="11" t="n">
        <v>999</v>
      </c>
      <c r="J24" s="10" t="s">
        <v>65</v>
      </c>
      <c r="K24" s="10" t="str">
        <f aca="false">IF(E24=0,"0 KR I SHOPPEN",IF(I24="","INGEN LINJE PÅ LISTEN",IF(E24=I24,"FØLGER LISTEN","AFVIGER FRA LISTEN")))</f>
        <v>FØLGER LISTEN</v>
      </c>
      <c r="L24" s="10" t="s">
        <v>40</v>
      </c>
    </row>
    <row r="25" customFormat="false" ht="15" hidden="false" customHeight="false" outlineLevel="0" collapsed="false">
      <c r="A25" s="10" t="s">
        <v>60</v>
      </c>
      <c r="B25" s="10" t="s">
        <v>47</v>
      </c>
      <c r="C25" s="10" t="s">
        <v>38</v>
      </c>
      <c r="D25" s="11" t="n">
        <v>469</v>
      </c>
      <c r="E25" s="11" t="n">
        <v>999</v>
      </c>
      <c r="F25" s="12" t="n">
        <f aca="false">IF(OR(D25="",E25="",D25=0),"",E25/D25-1)</f>
        <v>1.13006396588486</v>
      </c>
      <c r="G25" s="13" t="n">
        <v>250</v>
      </c>
      <c r="H25" s="12" t="n">
        <f aca="false">IF(OR(G25="",E25=0),"",(E25/(1+Forudsætninger!$B$3)-G25)/(E25/(1+Forudsætninger!$B$3)))</f>
        <v>0.687187187187187</v>
      </c>
      <c r="I25" s="11" t="n">
        <v>999</v>
      </c>
      <c r="J25" s="10" t="s">
        <v>65</v>
      </c>
      <c r="K25" s="10" t="str">
        <f aca="false">IF(E25=0,"0 KR I SHOPPEN",IF(I25="","INGEN LINJE PÅ LISTEN",IF(E25=I25,"FØLGER LISTEN","AFVIGER FRA LISTEN")))</f>
        <v>FØLGER LISTEN</v>
      </c>
      <c r="L25" s="10" t="s">
        <v>40</v>
      </c>
    </row>
    <row r="26" customFormat="false" ht="15" hidden="false" customHeight="false" outlineLevel="0" collapsed="false">
      <c r="A26" s="10" t="s">
        <v>60</v>
      </c>
      <c r="B26" s="10" t="s">
        <v>66</v>
      </c>
      <c r="C26" s="10" t="s">
        <v>35</v>
      </c>
      <c r="D26" s="11" t="n">
        <v>549</v>
      </c>
      <c r="E26" s="11" t="n">
        <v>1149</v>
      </c>
      <c r="F26" s="12" t="n">
        <f aca="false">IF(OR(D26="",E26="",D26=0),"",E26/D26-1)</f>
        <v>1.09289617486339</v>
      </c>
      <c r="G26" s="13" t="n">
        <v>300</v>
      </c>
      <c r="H26" s="12" t="n">
        <f aca="false">IF(OR(G26="",E26=0),"",(E26/(1+Forudsætninger!$B$3)-G26)/(E26/(1+Forudsætninger!$B$3)))</f>
        <v>0.673629242819843</v>
      </c>
      <c r="I26" s="11" t="n">
        <v>1149</v>
      </c>
      <c r="J26" s="10" t="s">
        <v>67</v>
      </c>
      <c r="K26" s="10" t="str">
        <f aca="false">IF(E26=0,"0 KR I SHOPPEN",IF(I26="","INGEN LINJE PÅ LISTEN",IF(E26=I26,"FØLGER LISTEN","AFVIGER FRA LISTEN")))</f>
        <v>FØLGER LISTEN</v>
      </c>
      <c r="L26" s="10" t="s">
        <v>40</v>
      </c>
    </row>
    <row r="27" customFormat="false" ht="15" hidden="false" customHeight="false" outlineLevel="0" collapsed="false">
      <c r="A27" s="10" t="s">
        <v>68</v>
      </c>
      <c r="B27" s="10" t="s">
        <v>34</v>
      </c>
      <c r="C27" s="10" t="s">
        <v>35</v>
      </c>
      <c r="D27" s="11" t="n">
        <v>89</v>
      </c>
      <c r="E27" s="11" t="n">
        <v>189</v>
      </c>
      <c r="F27" s="12" t="n">
        <f aca="false">IF(OR(D27="",E27="",D27=0),"",E27/D27-1)</f>
        <v>1.12359550561798</v>
      </c>
      <c r="G27" s="13" t="n">
        <v>75</v>
      </c>
      <c r="H27" s="12" t="n">
        <f aca="false">IF(OR(G27="",E27=0),"",(E27/(1+Forudsætninger!$B$3)-G27)/(E27/(1+Forudsætninger!$B$3)))</f>
        <v>0.503968253968254</v>
      </c>
      <c r="I27" s="11" t="n">
        <v>189</v>
      </c>
      <c r="J27" s="10" t="s">
        <v>61</v>
      </c>
      <c r="K27" s="10" t="str">
        <f aca="false">IF(E27=0,"0 KR I SHOPPEN",IF(I27="","INGEN LINJE PÅ LISTEN",IF(E27=I27,"FØLGER LISTEN","AFVIGER FRA LISTEN")))</f>
        <v>FØLGER LISTEN</v>
      </c>
      <c r="L27" s="10" t="s">
        <v>69</v>
      </c>
    </row>
    <row r="28" customFormat="false" ht="15" hidden="false" customHeight="false" outlineLevel="0" collapsed="false">
      <c r="A28" s="10" t="s">
        <v>68</v>
      </c>
      <c r="B28" s="10" t="s">
        <v>34</v>
      </c>
      <c r="C28" s="10" t="s">
        <v>38</v>
      </c>
      <c r="D28" s="11" t="n">
        <v>89</v>
      </c>
      <c r="E28" s="11" t="n">
        <v>189</v>
      </c>
      <c r="F28" s="12" t="n">
        <f aca="false">IF(OR(D28="",E28="",D28=0),"",E28/D28-1)</f>
        <v>1.12359550561798</v>
      </c>
      <c r="G28" s="13" t="n">
        <v>75</v>
      </c>
      <c r="H28" s="12" t="n">
        <f aca="false">IF(OR(G28="",E28=0),"",(E28/(1+Forudsætninger!$B$3)-G28)/(E28/(1+Forudsætninger!$B$3)))</f>
        <v>0.503968253968254</v>
      </c>
      <c r="I28" s="11" t="n">
        <v>189</v>
      </c>
      <c r="J28" s="10" t="s">
        <v>61</v>
      </c>
      <c r="K28" s="10" t="str">
        <f aca="false">IF(E28=0,"0 KR I SHOPPEN",IF(I28="","INGEN LINJE PÅ LISTEN",IF(E28=I28,"FØLGER LISTEN","AFVIGER FRA LISTEN")))</f>
        <v>FØLGER LISTEN</v>
      </c>
      <c r="L28" s="10" t="s">
        <v>40</v>
      </c>
    </row>
    <row r="29" customFormat="false" ht="15" hidden="false" customHeight="false" outlineLevel="0" collapsed="false">
      <c r="A29" s="10" t="s">
        <v>68</v>
      </c>
      <c r="B29" s="10" t="s">
        <v>41</v>
      </c>
      <c r="C29" s="10" t="s">
        <v>35</v>
      </c>
      <c r="D29" s="11" t="n">
        <v>179</v>
      </c>
      <c r="E29" s="11" t="n">
        <v>329</v>
      </c>
      <c r="F29" s="12" t="n">
        <f aca="false">IF(OR(D29="",E29="",D29=0),"",E29/D29-1)</f>
        <v>0.837988826815642</v>
      </c>
      <c r="G29" s="13" t="n">
        <v>165</v>
      </c>
      <c r="H29" s="12" t="n">
        <f aca="false">IF(OR(G29="",E29=0),"",(E29/(1+Forudsætninger!$B$3)-G29)/(E29/(1+Forudsætninger!$B$3)))</f>
        <v>0.373100303951368</v>
      </c>
      <c r="I29" s="11" t="n">
        <v>329</v>
      </c>
      <c r="J29" s="10" t="s">
        <v>63</v>
      </c>
      <c r="K29" s="10" t="str">
        <f aca="false">IF(E29=0,"0 KR I SHOPPEN",IF(I29="","INGEN LINJE PÅ LISTEN",IF(E29=I29,"FØLGER LISTEN","AFVIGER FRA LISTEN")))</f>
        <v>FØLGER LISTEN</v>
      </c>
      <c r="L29" s="10" t="s">
        <v>40</v>
      </c>
    </row>
    <row r="30" customFormat="false" ht="15" hidden="false" customHeight="false" outlineLevel="0" collapsed="false">
      <c r="A30" s="10" t="s">
        <v>68</v>
      </c>
      <c r="B30" s="10" t="s">
        <v>41</v>
      </c>
      <c r="C30" s="10" t="s">
        <v>38</v>
      </c>
      <c r="D30" s="11" t="n">
        <v>179</v>
      </c>
      <c r="E30" s="11" t="n">
        <v>329</v>
      </c>
      <c r="F30" s="12" t="n">
        <f aca="false">IF(OR(D30="",E30="",D30=0),"",E30/D30-1)</f>
        <v>0.837988826815642</v>
      </c>
      <c r="G30" s="13" t="n">
        <v>165</v>
      </c>
      <c r="H30" s="12" t="n">
        <f aca="false">IF(OR(G30="",E30=0),"",(E30/(1+Forudsætninger!$B$3)-G30)/(E30/(1+Forudsætninger!$B$3)))</f>
        <v>0.373100303951368</v>
      </c>
      <c r="I30" s="11" t="n">
        <v>329</v>
      </c>
      <c r="J30" s="10" t="s">
        <v>63</v>
      </c>
      <c r="K30" s="10" t="str">
        <f aca="false">IF(E30=0,"0 KR I SHOPPEN",IF(I30="","INGEN LINJE PÅ LISTEN",IF(E30=I30,"FØLGER LISTEN","AFVIGER FRA LISTEN")))</f>
        <v>FØLGER LISTEN</v>
      </c>
      <c r="L30" s="10" t="s">
        <v>40</v>
      </c>
    </row>
    <row r="31" customFormat="false" ht="15" hidden="false" customHeight="false" outlineLevel="0" collapsed="false">
      <c r="A31" s="10" t="s">
        <v>68</v>
      </c>
      <c r="B31" s="10" t="s">
        <v>44</v>
      </c>
      <c r="C31" s="10" t="s">
        <v>35</v>
      </c>
      <c r="D31" s="11" t="n">
        <v>279</v>
      </c>
      <c r="E31" s="11" t="n">
        <v>599</v>
      </c>
      <c r="F31" s="12" t="n">
        <f aca="false">IF(OR(D31="",E31="",D31=0),"",E31/D31-1)</f>
        <v>1.14695340501792</v>
      </c>
      <c r="G31" s="13" t="n">
        <v>225</v>
      </c>
      <c r="H31" s="12" t="n">
        <f aca="false">IF(OR(G31="",E31=0),"",(E31/(1+Forudsætninger!$B$3)-G31)/(E31/(1+Forudsætninger!$B$3)))</f>
        <v>0.530467445742905</v>
      </c>
      <c r="I31" s="11" t="n">
        <v>599</v>
      </c>
      <c r="J31" s="10" t="s">
        <v>64</v>
      </c>
      <c r="K31" s="10" t="str">
        <f aca="false">IF(E31=0,"0 KR I SHOPPEN",IF(I31="","INGEN LINJE PÅ LISTEN",IF(E31=I31,"FØLGER LISTEN","AFVIGER FRA LISTEN")))</f>
        <v>FØLGER LISTEN</v>
      </c>
      <c r="L31" s="10" t="s">
        <v>40</v>
      </c>
    </row>
    <row r="32" customFormat="false" ht="15" hidden="false" customHeight="false" outlineLevel="0" collapsed="false">
      <c r="A32" s="10" t="s">
        <v>68</v>
      </c>
      <c r="B32" s="10" t="s">
        <v>44</v>
      </c>
      <c r="C32" s="10" t="s">
        <v>38</v>
      </c>
      <c r="D32" s="11" t="n">
        <v>279</v>
      </c>
      <c r="E32" s="11" t="n">
        <v>599</v>
      </c>
      <c r="F32" s="12" t="n">
        <f aca="false">IF(OR(D32="",E32="",D32=0),"",E32/D32-1)</f>
        <v>1.14695340501792</v>
      </c>
      <c r="G32" s="13" t="n">
        <v>225</v>
      </c>
      <c r="H32" s="12" t="n">
        <f aca="false">IF(OR(G32="",E32=0),"",(E32/(1+Forudsætninger!$B$3)-G32)/(E32/(1+Forudsætninger!$B$3)))</f>
        <v>0.530467445742905</v>
      </c>
      <c r="I32" s="11" t="n">
        <v>599</v>
      </c>
      <c r="J32" s="10" t="s">
        <v>64</v>
      </c>
      <c r="K32" s="10" t="str">
        <f aca="false">IF(E32=0,"0 KR I SHOPPEN",IF(I32="","INGEN LINJE PÅ LISTEN",IF(E32=I32,"FØLGER LISTEN","AFVIGER FRA LISTEN")))</f>
        <v>FØLGER LISTEN</v>
      </c>
      <c r="L32" s="10" t="s">
        <v>40</v>
      </c>
    </row>
    <row r="33" customFormat="false" ht="15" hidden="false" customHeight="false" outlineLevel="0" collapsed="false">
      <c r="A33" s="10" t="s">
        <v>68</v>
      </c>
      <c r="B33" s="10" t="s">
        <v>47</v>
      </c>
      <c r="C33" s="10" t="s">
        <v>35</v>
      </c>
      <c r="D33" s="11" t="n">
        <v>469</v>
      </c>
      <c r="E33" s="11" t="n">
        <v>999</v>
      </c>
      <c r="F33" s="12" t="n">
        <f aca="false">IF(OR(D33="",E33="",D33=0),"",E33/D33-1)</f>
        <v>1.13006396588486</v>
      </c>
      <c r="G33" s="13" t="n">
        <v>250</v>
      </c>
      <c r="H33" s="12" t="n">
        <f aca="false">IF(OR(G33="",E33=0),"",(E33/(1+Forudsætninger!$B$3)-G33)/(E33/(1+Forudsætninger!$B$3)))</f>
        <v>0.687187187187187</v>
      </c>
      <c r="I33" s="11" t="n">
        <v>999</v>
      </c>
      <c r="J33" s="10" t="s">
        <v>65</v>
      </c>
      <c r="K33" s="10" t="str">
        <f aca="false">IF(E33=0,"0 KR I SHOPPEN",IF(I33="","INGEN LINJE PÅ LISTEN",IF(E33=I33,"FØLGER LISTEN","AFVIGER FRA LISTEN")))</f>
        <v>FØLGER LISTEN</v>
      </c>
      <c r="L33" s="10" t="s">
        <v>40</v>
      </c>
    </row>
    <row r="34" customFormat="false" ht="15" hidden="false" customHeight="false" outlineLevel="0" collapsed="false">
      <c r="A34" s="10" t="s">
        <v>68</v>
      </c>
      <c r="B34" s="10" t="s">
        <v>47</v>
      </c>
      <c r="C34" s="10" t="s">
        <v>38</v>
      </c>
      <c r="D34" s="11" t="n">
        <v>469</v>
      </c>
      <c r="E34" s="11" t="n">
        <v>999</v>
      </c>
      <c r="F34" s="12" t="n">
        <f aca="false">IF(OR(D34="",E34="",D34=0),"",E34/D34-1)</f>
        <v>1.13006396588486</v>
      </c>
      <c r="G34" s="13" t="n">
        <v>250</v>
      </c>
      <c r="H34" s="12" t="n">
        <f aca="false">IF(OR(G34="",E34=0),"",(E34/(1+Forudsætninger!$B$3)-G34)/(E34/(1+Forudsætninger!$B$3)))</f>
        <v>0.687187187187187</v>
      </c>
      <c r="I34" s="11" t="n">
        <v>999</v>
      </c>
      <c r="J34" s="10" t="s">
        <v>65</v>
      </c>
      <c r="K34" s="10" t="str">
        <f aca="false">IF(E34=0,"0 KR I SHOPPEN",IF(I34="","INGEN LINJE PÅ LISTEN",IF(E34=I34,"FØLGER LISTEN","AFVIGER FRA LISTEN")))</f>
        <v>FØLGER LISTEN</v>
      </c>
      <c r="L34" s="10" t="s">
        <v>40</v>
      </c>
    </row>
    <row r="35" customFormat="false" ht="15" hidden="false" customHeight="false" outlineLevel="0" collapsed="false">
      <c r="A35" s="10" t="s">
        <v>68</v>
      </c>
      <c r="B35" s="10" t="s">
        <v>66</v>
      </c>
      <c r="C35" s="10" t="s">
        <v>35</v>
      </c>
      <c r="D35" s="11" t="n">
        <v>549</v>
      </c>
      <c r="E35" s="11" t="n">
        <v>1149</v>
      </c>
      <c r="F35" s="12" t="n">
        <f aca="false">IF(OR(D35="",E35="",D35=0),"",E35/D35-1)</f>
        <v>1.09289617486339</v>
      </c>
      <c r="G35" s="13" t="n">
        <v>300</v>
      </c>
      <c r="H35" s="12" t="n">
        <f aca="false">IF(OR(G35="",E35=0),"",(E35/(1+Forudsætninger!$B$3)-G35)/(E35/(1+Forudsætninger!$B$3)))</f>
        <v>0.673629242819843</v>
      </c>
      <c r="I35" s="11" t="n">
        <v>1149</v>
      </c>
      <c r="J35" s="10" t="s">
        <v>67</v>
      </c>
      <c r="K35" s="10" t="str">
        <f aca="false">IF(E35=0,"0 KR I SHOPPEN",IF(I35="","INGEN LINJE PÅ LISTEN",IF(E35=I35,"FØLGER LISTEN","AFVIGER FRA LISTEN")))</f>
        <v>FØLGER LISTEN</v>
      </c>
      <c r="L35" s="10" t="s">
        <v>40</v>
      </c>
    </row>
    <row r="36" customFormat="false" ht="15" hidden="false" customHeight="false" outlineLevel="0" collapsed="false">
      <c r="A36" s="10" t="s">
        <v>70</v>
      </c>
      <c r="B36" s="10" t="s">
        <v>34</v>
      </c>
      <c r="C36" s="10" t="s">
        <v>35</v>
      </c>
      <c r="D36" s="11" t="n">
        <v>109</v>
      </c>
      <c r="E36" s="11" t="n">
        <v>299</v>
      </c>
      <c r="F36" s="12" t="n">
        <f aca="false">IF(OR(D36="",E36="",D36=0),"",E36/D36-1)</f>
        <v>1.74311926605505</v>
      </c>
      <c r="G36" s="13" t="n">
        <v>150</v>
      </c>
      <c r="H36" s="12" t="n">
        <f aca="false">IF(OR(G36="",E36=0),"",(E36/(1+Forudsætninger!$B$3)-G36)/(E36/(1+Forudsætninger!$B$3)))</f>
        <v>0.372909698996656</v>
      </c>
      <c r="I36" s="11" t="n">
        <v>299</v>
      </c>
      <c r="J36" s="10" t="s">
        <v>71</v>
      </c>
      <c r="K36" s="10" t="str">
        <f aca="false">IF(E36=0,"0 KR I SHOPPEN",IF(I36="","INGEN LINJE PÅ LISTEN",IF(E36=I36,"FØLGER LISTEN","AFVIGER FRA LISTEN")))</f>
        <v>FØLGER LISTEN</v>
      </c>
      <c r="L36" s="10" t="s">
        <v>40</v>
      </c>
    </row>
    <row r="37" customFormat="false" ht="15" hidden="false" customHeight="false" outlineLevel="0" collapsed="false">
      <c r="A37" s="10" t="s">
        <v>70</v>
      </c>
      <c r="B37" s="10" t="s">
        <v>34</v>
      </c>
      <c r="C37" s="10" t="s">
        <v>38</v>
      </c>
      <c r="D37" s="11" t="n">
        <v>109</v>
      </c>
      <c r="E37" s="11" t="n">
        <v>349</v>
      </c>
      <c r="F37" s="12" t="n">
        <f aca="false">IF(OR(D37="",E37="",D37=0),"",E37/D37-1)</f>
        <v>2.20183486238532</v>
      </c>
      <c r="G37" s="13"/>
      <c r="H37" s="12" t="str">
        <f aca="false">IF(OR(G37="",E37=0),"",(E37/(1+Forudsætninger!$B$3)-G37)/(E37/(1+Forudsætninger!$B$3)))</f>
        <v/>
      </c>
      <c r="I37" s="11" t="n">
        <v>349</v>
      </c>
      <c r="J37" s="10" t="s">
        <v>72</v>
      </c>
      <c r="K37" s="10" t="str">
        <f aca="false">IF(E37=0,"0 KR I SHOPPEN",IF(I37="","INGEN LINJE PÅ LISTEN",IF(E37=I37,"FØLGER LISTEN","AFVIGER FRA LISTEN")))</f>
        <v>FØLGER LISTEN</v>
      </c>
      <c r="L37" s="10" t="s">
        <v>40</v>
      </c>
    </row>
    <row r="38" customFormat="false" ht="15" hidden="false" customHeight="false" outlineLevel="0" collapsed="false">
      <c r="A38" s="10" t="s">
        <v>70</v>
      </c>
      <c r="B38" s="10" t="s">
        <v>41</v>
      </c>
      <c r="C38" s="10" t="s">
        <v>35</v>
      </c>
      <c r="D38" s="11" t="n">
        <v>219</v>
      </c>
      <c r="E38" s="11" t="n">
        <v>649</v>
      </c>
      <c r="F38" s="12" t="n">
        <f aca="false">IF(OR(D38="",E38="",D38=0),"",E38/D38-1)</f>
        <v>1.9634703196347</v>
      </c>
      <c r="G38" s="13" t="n">
        <v>250</v>
      </c>
      <c r="H38" s="12" t="n">
        <f aca="false">IF(OR(G38="",E38=0),"",(E38/(1+Forudsætninger!$B$3)-G38)/(E38/(1+Forudsætninger!$B$3)))</f>
        <v>0.51848998459168</v>
      </c>
      <c r="I38" s="11" t="n">
        <v>649</v>
      </c>
      <c r="J38" s="10" t="s">
        <v>73</v>
      </c>
      <c r="K38" s="10" t="str">
        <f aca="false">IF(E38=0,"0 KR I SHOPPEN",IF(I38="","INGEN LINJE PÅ LISTEN",IF(E38=I38,"FØLGER LISTEN","AFVIGER FRA LISTEN")))</f>
        <v>FØLGER LISTEN</v>
      </c>
      <c r="L38" s="10" t="s">
        <v>40</v>
      </c>
    </row>
    <row r="39" customFormat="false" ht="15" hidden="false" customHeight="false" outlineLevel="0" collapsed="false">
      <c r="A39" s="10" t="s">
        <v>70</v>
      </c>
      <c r="B39" s="10" t="s">
        <v>41</v>
      </c>
      <c r="C39" s="10" t="s">
        <v>38</v>
      </c>
      <c r="D39" s="11" t="n">
        <v>219</v>
      </c>
      <c r="E39" s="11" t="n">
        <v>699</v>
      </c>
      <c r="F39" s="12" t="n">
        <f aca="false">IF(OR(D39="",E39="",D39=0),"",E39/D39-1)</f>
        <v>2.19178082191781</v>
      </c>
      <c r="G39" s="13"/>
      <c r="H39" s="12" t="str">
        <f aca="false">IF(OR(G39="",E39=0),"",(E39/(1+Forudsætninger!$B$3)-G39)/(E39/(1+Forudsætninger!$B$3)))</f>
        <v/>
      </c>
      <c r="I39" s="11" t="n">
        <v>699</v>
      </c>
      <c r="J39" s="10" t="s">
        <v>74</v>
      </c>
      <c r="K39" s="10" t="str">
        <f aca="false">IF(E39=0,"0 KR I SHOPPEN",IF(I39="","INGEN LINJE PÅ LISTEN",IF(E39=I39,"FØLGER LISTEN","AFVIGER FRA LISTEN")))</f>
        <v>FØLGER LISTEN</v>
      </c>
      <c r="L39" s="10" t="s">
        <v>40</v>
      </c>
    </row>
    <row r="40" customFormat="false" ht="15" hidden="false" customHeight="false" outlineLevel="0" collapsed="false">
      <c r="A40" s="10" t="s">
        <v>75</v>
      </c>
      <c r="B40" s="10" t="s">
        <v>34</v>
      </c>
      <c r="C40" s="10" t="s">
        <v>35</v>
      </c>
      <c r="D40" s="11" t="n">
        <v>119</v>
      </c>
      <c r="E40" s="11" t="n">
        <v>119</v>
      </c>
      <c r="F40" s="12" t="n">
        <f aca="false">IF(OR(D40="",E40="",D40=0),"",E40/D40-1)</f>
        <v>0</v>
      </c>
      <c r="G40" s="13"/>
      <c r="H40" s="12" t="str">
        <f aca="false">IF(OR(G40="",E40=0),"",(E40/(1+Forudsætninger!$B$3)-G40)/(E40/(1+Forudsætninger!$B$3)))</f>
        <v/>
      </c>
      <c r="I40" s="11"/>
      <c r="J40" s="10"/>
      <c r="K40" s="10" t="str">
        <f aca="false">IF(E40=0,"0 KR I SHOPPEN",IF(I40="","INGEN LINJE PÅ LISTEN",IF(E40=I40,"FØLGER LISTEN","AFVIGER FRA LISTEN")))</f>
        <v>INGEN LINJE PÅ LISTEN</v>
      </c>
      <c r="L40" s="10" t="s">
        <v>76</v>
      </c>
    </row>
    <row r="41" customFormat="false" ht="15" hidden="false" customHeight="false" outlineLevel="0" collapsed="false">
      <c r="A41" s="10" t="s">
        <v>75</v>
      </c>
      <c r="B41" s="10" t="s">
        <v>34</v>
      </c>
      <c r="C41" s="10" t="s">
        <v>38</v>
      </c>
      <c r="D41" s="11" t="n">
        <v>119</v>
      </c>
      <c r="E41" s="11" t="n">
        <v>119</v>
      </c>
      <c r="F41" s="12" t="n">
        <f aca="false">IF(OR(D41="",E41="",D41=0),"",E41/D41-1)</f>
        <v>0</v>
      </c>
      <c r="G41" s="13"/>
      <c r="H41" s="12" t="str">
        <f aca="false">IF(OR(G41="",E41=0),"",(E41/(1+Forudsætninger!$B$3)-G41)/(E41/(1+Forudsætninger!$B$3)))</f>
        <v/>
      </c>
      <c r="I41" s="11"/>
      <c r="J41" s="10"/>
      <c r="K41" s="10" t="str">
        <f aca="false">IF(E41=0,"0 KR I SHOPPEN",IF(I41="","INGEN LINJE PÅ LISTEN",IF(E41=I41,"FØLGER LISTEN","AFVIGER FRA LISTEN")))</f>
        <v>INGEN LINJE PÅ LISTEN</v>
      </c>
      <c r="L41" s="10" t="s">
        <v>76</v>
      </c>
    </row>
    <row r="42" customFormat="false" ht="15" hidden="false" customHeight="false" outlineLevel="0" collapsed="false">
      <c r="A42" s="10" t="s">
        <v>75</v>
      </c>
      <c r="B42" s="10" t="s">
        <v>41</v>
      </c>
      <c r="C42" s="10" t="s">
        <v>35</v>
      </c>
      <c r="D42" s="11" t="n">
        <v>239</v>
      </c>
      <c r="E42" s="11" t="n">
        <v>239</v>
      </c>
      <c r="F42" s="12" t="n">
        <f aca="false">IF(OR(D42="",E42="",D42=0),"",E42/D42-1)</f>
        <v>0</v>
      </c>
      <c r="G42" s="13"/>
      <c r="H42" s="12" t="str">
        <f aca="false">IF(OR(G42="",E42=0),"",(E42/(1+Forudsætninger!$B$3)-G42)/(E42/(1+Forudsætninger!$B$3)))</f>
        <v/>
      </c>
      <c r="I42" s="11" t="n">
        <v>699</v>
      </c>
      <c r="J42" s="10" t="s">
        <v>77</v>
      </c>
      <c r="K42" s="10" t="str">
        <f aca="false">IF(E42=0,"0 KR I SHOPPEN",IF(I42="","INGEN LINJE PÅ LISTEN",IF(E42=I42,"FØLGER LISTEN","AFVIGER FRA LISTEN")))</f>
        <v>AFVIGER FRA LISTEN</v>
      </c>
      <c r="L42" s="10" t="s">
        <v>76</v>
      </c>
    </row>
    <row r="43" customFormat="false" ht="15" hidden="false" customHeight="false" outlineLevel="0" collapsed="false">
      <c r="A43" s="10" t="s">
        <v>75</v>
      </c>
      <c r="B43" s="10" t="s">
        <v>41</v>
      </c>
      <c r="C43" s="10" t="s">
        <v>38</v>
      </c>
      <c r="D43" s="11" t="n">
        <v>239</v>
      </c>
      <c r="E43" s="11" t="n">
        <v>239</v>
      </c>
      <c r="F43" s="12" t="n">
        <f aca="false">IF(OR(D43="",E43="",D43=0),"",E43/D43-1)</f>
        <v>0</v>
      </c>
      <c r="G43" s="13"/>
      <c r="H43" s="12" t="str">
        <f aca="false">IF(OR(G43="",E43=0),"",(E43/(1+Forudsætninger!$B$3)-G43)/(E43/(1+Forudsætninger!$B$3)))</f>
        <v/>
      </c>
      <c r="I43" s="11" t="n">
        <v>899</v>
      </c>
      <c r="J43" s="10" t="s">
        <v>78</v>
      </c>
      <c r="K43" s="10" t="str">
        <f aca="false">IF(E43=0,"0 KR I SHOPPEN",IF(I43="","INGEN LINJE PÅ LISTEN",IF(E43=I43,"FØLGER LISTEN","AFVIGER FRA LISTEN")))</f>
        <v>AFVIGER FRA LISTEN</v>
      </c>
      <c r="L43" s="10" t="s">
        <v>76</v>
      </c>
    </row>
    <row r="44" customFormat="false" ht="15" hidden="false" customHeight="false" outlineLevel="0" collapsed="false">
      <c r="A44" s="10" t="s">
        <v>75</v>
      </c>
      <c r="B44" s="10" t="s">
        <v>44</v>
      </c>
      <c r="C44" s="10" t="s">
        <v>35</v>
      </c>
      <c r="D44" s="11" t="n">
        <v>359</v>
      </c>
      <c r="E44" s="11" t="n">
        <v>749</v>
      </c>
      <c r="F44" s="12" t="n">
        <f aca="false">IF(OR(D44="",E44="",D44=0),"",E44/D44-1)</f>
        <v>1.08635097493036</v>
      </c>
      <c r="G44" s="13" t="n">
        <v>250</v>
      </c>
      <c r="H44" s="12" t="n">
        <f aca="false">IF(OR(G44="",E44=0),"",(E44/(1+Forudsætninger!$B$3)-G44)/(E44/(1+Forudsætninger!$B$3)))</f>
        <v>0.582777036048064</v>
      </c>
      <c r="I44" s="11" t="n">
        <v>749</v>
      </c>
      <c r="J44" s="10" t="s">
        <v>79</v>
      </c>
      <c r="K44" s="10" t="str">
        <f aca="false">IF(E44=0,"0 KR I SHOPPEN",IF(I44="","INGEN LINJE PÅ LISTEN",IF(E44=I44,"FØLGER LISTEN","AFVIGER FRA LISTEN")))</f>
        <v>FØLGER LISTEN</v>
      </c>
      <c r="L44" s="10" t="s">
        <v>40</v>
      </c>
    </row>
    <row r="45" customFormat="false" ht="15" hidden="false" customHeight="false" outlineLevel="0" collapsed="false">
      <c r="A45" s="10" t="s">
        <v>75</v>
      </c>
      <c r="B45" s="10" t="s">
        <v>44</v>
      </c>
      <c r="C45" s="10" t="s">
        <v>38</v>
      </c>
      <c r="D45" s="11" t="n">
        <v>359</v>
      </c>
      <c r="E45" s="11" t="n">
        <v>899</v>
      </c>
      <c r="F45" s="12" t="n">
        <f aca="false">IF(OR(D45="",E45="",D45=0),"",E45/D45-1)</f>
        <v>1.5041782729805</v>
      </c>
      <c r="G45" s="13" t="n">
        <v>250</v>
      </c>
      <c r="H45" s="12" t="n">
        <f aca="false">IF(OR(G45="",E45=0),"",(E45/(1+Forudsætninger!$B$3)-G45)/(E45/(1+Forudsætninger!$B$3)))</f>
        <v>0.652391546162403</v>
      </c>
      <c r="I45" s="11" t="n">
        <v>899</v>
      </c>
      <c r="J45" s="10" t="s">
        <v>78</v>
      </c>
      <c r="K45" s="10" t="str">
        <f aca="false">IF(E45=0,"0 KR I SHOPPEN",IF(I45="","INGEN LINJE PÅ LISTEN",IF(E45=I45,"FØLGER LISTEN","AFVIGER FRA LISTEN")))</f>
        <v>FØLGER LISTEN</v>
      </c>
      <c r="L45" s="10" t="s">
        <v>40</v>
      </c>
    </row>
    <row r="46" customFormat="false" ht="15" hidden="false" customHeight="false" outlineLevel="0" collapsed="false">
      <c r="A46" s="10" t="s">
        <v>75</v>
      </c>
      <c r="B46" s="10" t="s">
        <v>47</v>
      </c>
      <c r="C46" s="10" t="s">
        <v>35</v>
      </c>
      <c r="D46" s="11" t="n">
        <v>599</v>
      </c>
      <c r="E46" s="11" t="n">
        <v>1699</v>
      </c>
      <c r="F46" s="12" t="n">
        <f aca="false">IF(OR(D46="",E46="",D46=0),"",E46/D46-1)</f>
        <v>1.83639398998331</v>
      </c>
      <c r="G46" s="13"/>
      <c r="H46" s="12" t="str">
        <f aca="false">IF(OR(G46="",E46=0),"",(E46/(1+Forudsætninger!$B$3)-G46)/(E46/(1+Forudsætninger!$B$3)))</f>
        <v/>
      </c>
      <c r="I46" s="11" t="n">
        <v>1699</v>
      </c>
      <c r="J46" s="10" t="s">
        <v>80</v>
      </c>
      <c r="K46" s="10" t="str">
        <f aca="false">IF(E46=0,"0 KR I SHOPPEN",IF(I46="","INGEN LINJE PÅ LISTEN",IF(E46=I46,"FØLGER LISTEN","AFVIGER FRA LISTEN")))</f>
        <v>FØLGER LISTEN</v>
      </c>
      <c r="L46" s="10" t="s">
        <v>81</v>
      </c>
    </row>
    <row r="47" customFormat="false" ht="15" hidden="false" customHeight="false" outlineLevel="0" collapsed="false">
      <c r="A47" s="10" t="s">
        <v>75</v>
      </c>
      <c r="B47" s="10" t="s">
        <v>47</v>
      </c>
      <c r="C47" s="10" t="s">
        <v>38</v>
      </c>
      <c r="D47" s="11" t="n">
        <v>599</v>
      </c>
      <c r="E47" s="11" t="n">
        <v>1699</v>
      </c>
      <c r="F47" s="12" t="n">
        <f aca="false">IF(OR(D47="",E47="",D47=0),"",E47/D47-1)</f>
        <v>1.83639398998331</v>
      </c>
      <c r="G47" s="13"/>
      <c r="H47" s="12" t="str">
        <f aca="false">IF(OR(G47="",E47=0),"",(E47/(1+Forudsætninger!$B$3)-G47)/(E47/(1+Forudsætninger!$B$3)))</f>
        <v/>
      </c>
      <c r="I47" s="11" t="n">
        <v>1699</v>
      </c>
      <c r="J47" s="10" t="s">
        <v>80</v>
      </c>
      <c r="K47" s="10" t="str">
        <f aca="false">IF(E47=0,"0 KR I SHOPPEN",IF(I47="","INGEN LINJE PÅ LISTEN",IF(E47=I47,"FØLGER LISTEN","AFVIGER FRA LISTEN")))</f>
        <v>FØLGER LISTEN</v>
      </c>
      <c r="L47" s="10" t="s">
        <v>40</v>
      </c>
    </row>
    <row r="48" customFormat="false" ht="15" hidden="false" customHeight="false" outlineLevel="0" collapsed="false">
      <c r="A48" s="10" t="s">
        <v>82</v>
      </c>
      <c r="B48" s="10" t="s">
        <v>83</v>
      </c>
      <c r="C48" s="10"/>
      <c r="D48" s="11" t="n">
        <v>375</v>
      </c>
      <c r="E48" s="11" t="n">
        <v>599</v>
      </c>
      <c r="F48" s="12" t="n">
        <f aca="false">IF(OR(D48="",E48="",D48=0),"",E48/D48-1)</f>
        <v>0.597333333333333</v>
      </c>
      <c r="G48" s="13" t="n">
        <v>300</v>
      </c>
      <c r="H48" s="12" t="n">
        <f aca="false">IF(OR(G48="",E48=0),"",(E48/(1+Forudsætninger!$B$3)-G48)/(E48/(1+Forudsætninger!$B$3)))</f>
        <v>0.373956594323873</v>
      </c>
      <c r="I48" s="11" t="n">
        <v>599</v>
      </c>
      <c r="J48" s="10" t="s">
        <v>84</v>
      </c>
      <c r="K48" s="10" t="str">
        <f aca="false">IF(E48=0,"0 KR I SHOPPEN",IF(I48="","INGEN LINJE PÅ LISTEN",IF(E48=I48,"FØLGER LISTEN","AFVIGER FRA LISTEN")))</f>
        <v>FØLGER LISTEN</v>
      </c>
      <c r="L48" s="10" t="s">
        <v>85</v>
      </c>
    </row>
    <row r="49" customFormat="false" ht="15" hidden="false" customHeight="false" outlineLevel="0" collapsed="false">
      <c r="A49" s="10" t="s">
        <v>82</v>
      </c>
      <c r="B49" s="10" t="s">
        <v>86</v>
      </c>
      <c r="C49" s="10"/>
      <c r="D49" s="11" t="n">
        <v>0</v>
      </c>
      <c r="E49" s="11" t="n">
        <v>799</v>
      </c>
      <c r="F49" s="12" t="str">
        <f aca="false">IF(OR(D49="",E49="",D49=0),"",E49/D49-1)</f>
        <v/>
      </c>
      <c r="G49" s="13" t="n">
        <v>325</v>
      </c>
      <c r="H49" s="12" t="n">
        <f aca="false">IF(OR(G49="",E49=0),"",(E49/(1+Forudsætninger!$B$3)-G49)/(E49/(1+Forudsætninger!$B$3)))</f>
        <v>0.491551939924906</v>
      </c>
      <c r="I49" s="11" t="n">
        <v>799</v>
      </c>
      <c r="J49" s="10" t="s">
        <v>87</v>
      </c>
      <c r="K49" s="10" t="str">
        <f aca="false">IF(E49=0,"0 KR I SHOPPEN",IF(I49="","INGEN LINJE PÅ LISTEN",IF(E49=I49,"FØLGER LISTEN","AFVIGER FRA LISTEN")))</f>
        <v>FØLGER LISTEN</v>
      </c>
      <c r="L49" s="10" t="s">
        <v>40</v>
      </c>
    </row>
    <row r="50" customFormat="false" ht="15" hidden="false" customHeight="false" outlineLevel="0" collapsed="false">
      <c r="A50" s="10" t="s">
        <v>82</v>
      </c>
      <c r="B50" s="10" t="s">
        <v>88</v>
      </c>
      <c r="C50" s="10"/>
      <c r="D50" s="11" t="n">
        <v>900</v>
      </c>
      <c r="E50" s="11" t="n">
        <v>1499</v>
      </c>
      <c r="F50" s="12" t="n">
        <f aca="false">IF(OR(D50="",E50="",D50=0),"",E50/D50-1)</f>
        <v>0.665555555555556</v>
      </c>
      <c r="G50" s="13" t="n">
        <v>350</v>
      </c>
      <c r="H50" s="12" t="n">
        <f aca="false">IF(OR(G50="",E50=0),"",(E50/(1+Forudsætninger!$B$3)-G50)/(E50/(1+Forudsætninger!$B$3)))</f>
        <v>0.708138759172782</v>
      </c>
      <c r="I50" s="11" t="n">
        <v>1499</v>
      </c>
      <c r="J50" s="10" t="s">
        <v>89</v>
      </c>
      <c r="K50" s="10" t="str">
        <f aca="false">IF(E50=0,"0 KR I SHOPPEN",IF(I50="","INGEN LINJE PÅ LISTEN",IF(E50=I50,"FØLGER LISTEN","AFVIGER FRA LISTEN")))</f>
        <v>FØLGER LISTEN</v>
      </c>
      <c r="L50" s="10" t="s">
        <v>40</v>
      </c>
    </row>
    <row r="51" customFormat="false" ht="15" hidden="false" customHeight="false" outlineLevel="0" collapsed="false">
      <c r="A51" s="10" t="s">
        <v>90</v>
      </c>
      <c r="B51" s="10" t="s">
        <v>88</v>
      </c>
      <c r="C51" s="10"/>
      <c r="D51" s="11" t="n">
        <v>875</v>
      </c>
      <c r="E51" s="11" t="n">
        <v>399</v>
      </c>
      <c r="F51" s="12" t="n">
        <f aca="false">IF(OR(D51="",E51="",D51=0),"",E51/D51-1)</f>
        <v>-0.544</v>
      </c>
      <c r="G51" s="13" t="n">
        <v>100</v>
      </c>
      <c r="H51" s="12" t="n">
        <f aca="false">IF(OR(G51="",E51=0),"",(E51/(1+Forudsætninger!$B$3)-G51)/(E51/(1+Forudsætninger!$B$3)))</f>
        <v>0.68671679197995</v>
      </c>
      <c r="I51" s="11" t="n">
        <v>399</v>
      </c>
      <c r="J51" s="10" t="s">
        <v>91</v>
      </c>
      <c r="K51" s="10" t="str">
        <f aca="false">IF(E51=0,"0 KR I SHOPPEN",IF(I51="","INGEN LINJE PÅ LISTEN",IF(E51=I51,"FØLGER LISTEN","AFVIGER FRA LISTEN")))</f>
        <v>FØLGER LISTEN</v>
      </c>
      <c r="L51" s="10" t="s">
        <v>92</v>
      </c>
    </row>
    <row r="52" customFormat="false" ht="15" hidden="false" customHeight="false" outlineLevel="0" collapsed="false">
      <c r="A52" s="10" t="s">
        <v>93</v>
      </c>
      <c r="B52" s="10" t="s">
        <v>88</v>
      </c>
      <c r="C52" s="10"/>
      <c r="D52" s="11" t="n">
        <v>500</v>
      </c>
      <c r="E52" s="11" t="n">
        <v>499</v>
      </c>
      <c r="F52" s="12" t="n">
        <f aca="false">IF(OR(D52="",E52="",D52=0),"",E52/D52-1)</f>
        <v>-0.002</v>
      </c>
      <c r="G52" s="13" t="n">
        <v>120</v>
      </c>
      <c r="H52" s="12" t="n">
        <f aca="false">IF(OR(G52="",E52=0),"",(E52/(1+Forudsætninger!$B$3)-G52)/(E52/(1+Forudsætninger!$B$3)))</f>
        <v>0.69939879759519</v>
      </c>
      <c r="I52" s="11" t="n">
        <v>499</v>
      </c>
      <c r="J52" s="10" t="s">
        <v>94</v>
      </c>
      <c r="K52" s="10" t="str">
        <f aca="false">IF(E52=0,"0 KR I SHOPPEN",IF(I52="","INGEN LINJE PÅ LISTEN",IF(E52=I52,"FØLGER LISTEN","AFVIGER FRA LISTEN")))</f>
        <v>FØLGER LISTEN</v>
      </c>
      <c r="L52" s="10" t="s">
        <v>92</v>
      </c>
    </row>
    <row r="53" customFormat="false" ht="15" hidden="false" customHeight="false" outlineLevel="0" collapsed="false">
      <c r="A53" s="10" t="s">
        <v>95</v>
      </c>
      <c r="B53" s="10" t="s">
        <v>86</v>
      </c>
      <c r="C53" s="10"/>
      <c r="D53" s="11" t="n">
        <v>250</v>
      </c>
      <c r="E53" s="11" t="n">
        <v>299</v>
      </c>
      <c r="F53" s="12" t="n">
        <f aca="false">IF(OR(D53="",E53="",D53=0),"",E53/D53-1)</f>
        <v>0.196</v>
      </c>
      <c r="G53" s="13" t="n">
        <v>75</v>
      </c>
      <c r="H53" s="12" t="n">
        <f aca="false">IF(OR(G53="",E53=0),"",(E53/(1+Forudsætninger!$B$3)-G53)/(E53/(1+Forudsætninger!$B$3)))</f>
        <v>0.686454849498328</v>
      </c>
      <c r="I53" s="11" t="n">
        <v>299</v>
      </c>
      <c r="J53" s="10" t="s">
        <v>96</v>
      </c>
      <c r="K53" s="10" t="str">
        <f aca="false">IF(E53=0,"0 KR I SHOPPEN",IF(I53="","INGEN LINJE PÅ LISTEN",IF(E53=I53,"FØLGER LISTEN","AFVIGER FRA LISTEN")))</f>
        <v>FØLGER LISTEN</v>
      </c>
      <c r="L53" s="10" t="s">
        <v>40</v>
      </c>
    </row>
    <row r="54" customFormat="false" ht="15" hidden="false" customHeight="false" outlineLevel="0" collapsed="false">
      <c r="A54" s="10" t="s">
        <v>95</v>
      </c>
      <c r="B54" s="10" t="s">
        <v>88</v>
      </c>
      <c r="C54" s="10"/>
      <c r="D54" s="11" t="n">
        <v>500</v>
      </c>
      <c r="E54" s="11" t="n">
        <v>549</v>
      </c>
      <c r="F54" s="12" t="n">
        <f aca="false">IF(OR(D54="",E54="",D54=0),"",E54/D54-1)</f>
        <v>0.0980000000000001</v>
      </c>
      <c r="G54" s="13" t="n">
        <v>110</v>
      </c>
      <c r="H54" s="12" t="n">
        <f aca="false">IF(OR(G54="",E54=0),"",(E54/(1+Forudsætninger!$B$3)-G54)/(E54/(1+Forudsætninger!$B$3)))</f>
        <v>0.749544626593807</v>
      </c>
      <c r="I54" s="11" t="n">
        <v>549</v>
      </c>
      <c r="J54" s="10" t="s">
        <v>97</v>
      </c>
      <c r="K54" s="10" t="str">
        <f aca="false">IF(E54=0,"0 KR I SHOPPEN",IF(I54="","INGEN LINJE PÅ LISTEN",IF(E54=I54,"FØLGER LISTEN","AFVIGER FRA LISTEN")))</f>
        <v>FØLGER LISTEN</v>
      </c>
      <c r="L54" s="10" t="s">
        <v>40</v>
      </c>
    </row>
    <row r="55" customFormat="false" ht="15" hidden="false" customHeight="false" outlineLevel="0" collapsed="false">
      <c r="A55" s="10" t="s">
        <v>98</v>
      </c>
      <c r="B55" s="10" t="s">
        <v>86</v>
      </c>
      <c r="C55" s="10"/>
      <c r="D55" s="11" t="n">
        <v>500</v>
      </c>
      <c r="E55" s="11" t="n">
        <v>399</v>
      </c>
      <c r="F55" s="12" t="n">
        <f aca="false">IF(OR(D55="",E55="",D55=0),"",E55/D55-1)</f>
        <v>-0.202</v>
      </c>
      <c r="G55" s="13" t="n">
        <v>185</v>
      </c>
      <c r="H55" s="12" t="n">
        <f aca="false">IF(OR(G55="",E55=0),"",(E55/(1+Forudsætninger!$B$3)-G55)/(E55/(1+Forudsætninger!$B$3)))</f>
        <v>0.420426065162907</v>
      </c>
      <c r="I55" s="11" t="n">
        <v>399</v>
      </c>
      <c r="J55" s="10" t="s">
        <v>99</v>
      </c>
      <c r="K55" s="10" t="str">
        <f aca="false">IF(E55=0,"0 KR I SHOPPEN",IF(I55="","INGEN LINJE PÅ LISTEN",IF(E55=I55,"FØLGER LISTEN","AFVIGER FRA LISTEN")))</f>
        <v>FØLGER LISTEN</v>
      </c>
      <c r="L55" s="10" t="s">
        <v>100</v>
      </c>
    </row>
    <row r="56" customFormat="false" ht="15" hidden="false" customHeight="false" outlineLevel="0" collapsed="false">
      <c r="A56" s="10" t="s">
        <v>98</v>
      </c>
      <c r="B56" s="10" t="s">
        <v>101</v>
      </c>
      <c r="C56" s="10"/>
      <c r="D56" s="11" t="n">
        <v>1750</v>
      </c>
      <c r="E56" s="11" t="n">
        <v>1499</v>
      </c>
      <c r="F56" s="12" t="n">
        <f aca="false">IF(OR(D56="",E56="",D56=0),"",E56/D56-1)</f>
        <v>-0.143428571428571</v>
      </c>
      <c r="G56" s="13" t="n">
        <v>600</v>
      </c>
      <c r="H56" s="12" t="n">
        <f aca="false">IF(OR(G56="",E56=0),"",(E56/(1+Forudsætninger!$B$3)-G56)/(E56/(1+Forudsætninger!$B$3)))</f>
        <v>0.499666444296198</v>
      </c>
      <c r="I56" s="11" t="n">
        <v>1499</v>
      </c>
      <c r="J56" s="10" t="s">
        <v>102</v>
      </c>
      <c r="K56" s="10" t="str">
        <f aca="false">IF(E56=0,"0 KR I SHOPPEN",IF(I56="","INGEN LINJE PÅ LISTEN",IF(E56=I56,"FØLGER LISTEN","AFVIGER FRA LISTEN")))</f>
        <v>FØLGER LISTEN</v>
      </c>
      <c r="L56" s="10" t="s">
        <v>40</v>
      </c>
    </row>
    <row r="57" customFormat="false" ht="15" hidden="false" customHeight="false" outlineLevel="0" collapsed="false">
      <c r="A57" s="10" t="s">
        <v>103</v>
      </c>
      <c r="B57" s="10" t="s">
        <v>88</v>
      </c>
      <c r="C57" s="10"/>
      <c r="D57" s="11" t="n">
        <v>750</v>
      </c>
      <c r="E57" s="11" t="n">
        <v>1199</v>
      </c>
      <c r="F57" s="12" t="n">
        <f aca="false">IF(OR(D57="",E57="",D57=0),"",E57/D57-1)</f>
        <v>0.598666666666667</v>
      </c>
      <c r="G57" s="13" t="n">
        <v>285</v>
      </c>
      <c r="H57" s="12" t="n">
        <f aca="false">IF(OR(G57="",E57=0),"",(E57/(1+Forudsætninger!$B$3)-G57)/(E57/(1+Forudsætninger!$B$3)))</f>
        <v>0.702877397831526</v>
      </c>
      <c r="I57" s="11" t="n">
        <v>1199</v>
      </c>
      <c r="J57" s="10" t="s">
        <v>104</v>
      </c>
      <c r="K57" s="10" t="str">
        <f aca="false">IF(E57=0,"0 KR I SHOPPEN",IF(I57="","INGEN LINJE PÅ LISTEN",IF(E57=I57,"FØLGER LISTEN","AFVIGER FRA LISTEN")))</f>
        <v>FØLGER LISTEN</v>
      </c>
      <c r="L57" s="10" t="s">
        <v>105</v>
      </c>
    </row>
    <row r="58" customFormat="false" ht="15" hidden="false" customHeight="false" outlineLevel="0" collapsed="false">
      <c r="A58" s="10" t="s">
        <v>106</v>
      </c>
      <c r="B58" s="10" t="s">
        <v>88</v>
      </c>
      <c r="C58" s="10"/>
      <c r="D58" s="11" t="n">
        <v>875</v>
      </c>
      <c r="E58" s="11" t="n">
        <v>1199</v>
      </c>
      <c r="F58" s="12" t="n">
        <f aca="false">IF(OR(D58="",E58="",D58=0),"",E58/D58-1)</f>
        <v>0.370285714285714</v>
      </c>
      <c r="G58" s="13" t="n">
        <v>285</v>
      </c>
      <c r="H58" s="12" t="n">
        <f aca="false">IF(OR(G58="",E58=0),"",(E58/(1+Forudsætninger!$B$3)-G58)/(E58/(1+Forudsætninger!$B$3)))</f>
        <v>0.702877397831526</v>
      </c>
      <c r="I58" s="11" t="n">
        <v>1199</v>
      </c>
      <c r="J58" s="10" t="s">
        <v>107</v>
      </c>
      <c r="K58" s="10" t="str">
        <f aca="false">IF(E58=0,"0 KR I SHOPPEN",IF(I58="","INGEN LINJE PÅ LISTEN",IF(E58=I58,"FØLGER LISTEN","AFVIGER FRA LISTEN")))</f>
        <v>FØLGER LISTEN</v>
      </c>
      <c r="L58" s="10" t="s">
        <v>40</v>
      </c>
    </row>
    <row r="59" customFormat="false" ht="15" hidden="false" customHeight="false" outlineLevel="0" collapsed="false">
      <c r="A59" s="10" t="s">
        <v>108</v>
      </c>
      <c r="B59" s="10" t="s">
        <v>101</v>
      </c>
      <c r="C59" s="10"/>
      <c r="D59" s="11" t="n">
        <v>1500</v>
      </c>
      <c r="E59" s="11" t="n">
        <v>2199</v>
      </c>
      <c r="F59" s="12" t="n">
        <f aca="false">IF(OR(D59="",E59="",D59=0),"",E59/D59-1)</f>
        <v>0.466</v>
      </c>
      <c r="G59" s="13" t="n">
        <v>600</v>
      </c>
      <c r="H59" s="12" t="n">
        <f aca="false">IF(OR(G59="",E59=0),"",(E59/(1+Forudsætninger!$B$3)-G59)/(E59/(1+Forudsætninger!$B$3)))</f>
        <v>0.65893587994543</v>
      </c>
      <c r="I59" s="11" t="n">
        <v>2199</v>
      </c>
      <c r="J59" s="10" t="s">
        <v>109</v>
      </c>
      <c r="K59" s="10" t="str">
        <f aca="false">IF(E59=0,"0 KR I SHOPPEN",IF(I59="","INGEN LINJE PÅ LISTEN",IF(E59=I59,"FØLGER LISTEN","AFVIGER FRA LISTEN")))</f>
        <v>FØLGER LISTEN</v>
      </c>
      <c r="L59" s="10" t="s">
        <v>40</v>
      </c>
    </row>
    <row r="60" customFormat="false" ht="15" hidden="false" customHeight="false" outlineLevel="0" collapsed="false">
      <c r="A60" s="10" t="s">
        <v>110</v>
      </c>
      <c r="B60" s="10" t="s">
        <v>101</v>
      </c>
      <c r="C60" s="10"/>
      <c r="D60" s="11" t="n">
        <v>1500</v>
      </c>
      <c r="E60" s="11" t="n">
        <v>2199</v>
      </c>
      <c r="F60" s="12" t="n">
        <f aca="false">IF(OR(D60="",E60="",D60=0),"",E60/D60-1)</f>
        <v>0.466</v>
      </c>
      <c r="G60" s="13" t="n">
        <v>600</v>
      </c>
      <c r="H60" s="12" t="n">
        <f aca="false">IF(OR(G60="",E60=0),"",(E60/(1+Forudsætninger!$B$3)-G60)/(E60/(1+Forudsætninger!$B$3)))</f>
        <v>0.65893587994543</v>
      </c>
      <c r="I60" s="11" t="n">
        <v>2199</v>
      </c>
      <c r="J60" s="10" t="s">
        <v>111</v>
      </c>
      <c r="K60" s="10" t="str">
        <f aca="false">IF(E60=0,"0 KR I SHOPPEN",IF(I60="","INGEN LINJE PÅ LISTEN",IF(E60=I60,"FØLGER LISTEN","AFVIGER FRA LISTEN")))</f>
        <v>FØLGER LISTEN</v>
      </c>
      <c r="L60" s="10" t="s">
        <v>40</v>
      </c>
    </row>
    <row r="61" customFormat="false" ht="15" hidden="false" customHeight="false" outlineLevel="0" collapsed="false">
      <c r="A61" s="10" t="s">
        <v>112</v>
      </c>
      <c r="B61" s="10" t="s">
        <v>101</v>
      </c>
      <c r="C61" s="10"/>
      <c r="D61" s="11" t="n">
        <v>2000</v>
      </c>
      <c r="E61" s="11" t="n">
        <v>2199</v>
      </c>
      <c r="F61" s="12" t="n">
        <f aca="false">IF(OR(D61="",E61="",D61=0),"",E61/D61-1)</f>
        <v>0.0994999999999999</v>
      </c>
      <c r="G61" s="13" t="n">
        <v>600</v>
      </c>
      <c r="H61" s="12" t="n">
        <f aca="false">IF(OR(G61="",E61=0),"",(E61/(1+Forudsætninger!$B$3)-G61)/(E61/(1+Forudsætninger!$B$3)))</f>
        <v>0.65893587994543</v>
      </c>
      <c r="I61" s="11" t="n">
        <v>2199</v>
      </c>
      <c r="J61" s="10" t="s">
        <v>113</v>
      </c>
      <c r="K61" s="10" t="str">
        <f aca="false">IF(E61=0,"0 KR I SHOPPEN",IF(I61="","INGEN LINJE PÅ LISTEN",IF(E61=I61,"FØLGER LISTEN","AFVIGER FRA LISTEN")))</f>
        <v>FØLGER LISTEN</v>
      </c>
      <c r="L61" s="10" t="s">
        <v>40</v>
      </c>
    </row>
    <row r="62" customFormat="false" ht="15" hidden="false" customHeight="false" outlineLevel="0" collapsed="false">
      <c r="A62" s="10" t="s">
        <v>114</v>
      </c>
      <c r="B62" s="10" t="s">
        <v>86</v>
      </c>
      <c r="C62" s="10"/>
      <c r="D62" s="11" t="n">
        <v>625</v>
      </c>
      <c r="E62" s="11" t="n">
        <v>799</v>
      </c>
      <c r="F62" s="12" t="n">
        <f aca="false">IF(OR(D62="",E62="",D62=0),"",E62/D62-1)</f>
        <v>0.2784</v>
      </c>
      <c r="G62" s="13" t="n">
        <v>275</v>
      </c>
      <c r="H62" s="12" t="n">
        <f aca="false">IF(OR(G62="",E62=0),"",(E62/(1+Forudsætninger!$B$3)-G62)/(E62/(1+Forudsætninger!$B$3)))</f>
        <v>0.569774718397998</v>
      </c>
      <c r="I62" s="11" t="n">
        <v>799</v>
      </c>
      <c r="J62" s="10" t="s">
        <v>115</v>
      </c>
      <c r="K62" s="10" t="str">
        <f aca="false">IF(E62=0,"0 KR I SHOPPEN",IF(I62="","INGEN LINJE PÅ LISTEN",IF(E62=I62,"FØLGER LISTEN","AFVIGER FRA LISTEN")))</f>
        <v>FØLGER LISTEN</v>
      </c>
      <c r="L62" s="10" t="s">
        <v>116</v>
      </c>
    </row>
    <row r="63" customFormat="false" ht="15" hidden="false" customHeight="false" outlineLevel="0" collapsed="false">
      <c r="A63" s="10" t="s">
        <v>114</v>
      </c>
      <c r="B63" s="10" t="s">
        <v>88</v>
      </c>
      <c r="C63" s="10"/>
      <c r="D63" s="11" t="n">
        <v>1000</v>
      </c>
      <c r="E63" s="11" t="n">
        <v>1499</v>
      </c>
      <c r="F63" s="12" t="n">
        <f aca="false">IF(OR(D63="",E63="",D63=0),"",E63/D63-1)</f>
        <v>0.499</v>
      </c>
      <c r="G63" s="13" t="n">
        <v>475</v>
      </c>
      <c r="H63" s="12" t="n">
        <f aca="false">IF(OR(G63="",E63=0),"",(E63/(1+Forudsætninger!$B$3)-G63)/(E63/(1+Forudsætninger!$B$3)))</f>
        <v>0.60390260173449</v>
      </c>
      <c r="I63" s="11" t="n">
        <v>1499</v>
      </c>
      <c r="J63" s="10" t="s">
        <v>117</v>
      </c>
      <c r="K63" s="10" t="str">
        <f aca="false">IF(E63=0,"0 KR I SHOPPEN",IF(I63="","INGEN LINJE PÅ LISTEN",IF(E63=I63,"FØLGER LISTEN","AFVIGER FRA LISTEN")))</f>
        <v>FØLGER LISTEN</v>
      </c>
      <c r="L63" s="10" t="s">
        <v>40</v>
      </c>
    </row>
    <row r="64" customFormat="false" ht="15" hidden="false" customHeight="false" outlineLevel="0" collapsed="false">
      <c r="A64" s="10" t="s">
        <v>118</v>
      </c>
      <c r="B64" s="10" t="s">
        <v>119</v>
      </c>
      <c r="C64" s="10"/>
      <c r="D64" s="11" t="n">
        <v>219</v>
      </c>
      <c r="E64" s="11" t="n">
        <v>219</v>
      </c>
      <c r="F64" s="12" t="n">
        <f aca="false">IF(OR(D64="",E64="",D64=0),"",E64/D64-1)</f>
        <v>0</v>
      </c>
      <c r="G64" s="13"/>
      <c r="H64" s="12" t="str">
        <f aca="false">IF(OR(G64="",E64=0),"",(E64/(1+Forudsætninger!$B$3)-G64)/(E64/(1+Forudsætninger!$B$3)))</f>
        <v/>
      </c>
      <c r="I64" s="11" t="n">
        <v>649</v>
      </c>
      <c r="J64" s="10" t="s">
        <v>120</v>
      </c>
      <c r="K64" s="10" t="str">
        <f aca="false">IF(E64=0,"0 KR I SHOPPEN",IF(I64="","INGEN LINJE PÅ LISTEN",IF(E64=I64,"FØLGER LISTEN","AFVIGER FRA LISTEN")))</f>
        <v>AFVIGER FRA LISTEN</v>
      </c>
      <c r="L64" s="10" t="s">
        <v>121</v>
      </c>
    </row>
    <row r="65" customFormat="false" ht="15" hidden="false" customHeight="false" outlineLevel="0" collapsed="false">
      <c r="A65" s="10" t="s">
        <v>118</v>
      </c>
      <c r="B65" s="10" t="s">
        <v>86</v>
      </c>
      <c r="C65" s="10"/>
      <c r="D65" s="11" t="n">
        <v>438</v>
      </c>
      <c r="E65" s="11" t="n">
        <v>799</v>
      </c>
      <c r="F65" s="12" t="n">
        <f aca="false">IF(OR(D65="",E65="",D65=0),"",E65/D65-1)</f>
        <v>0.824200913242009</v>
      </c>
      <c r="G65" s="13" t="n">
        <v>250</v>
      </c>
      <c r="H65" s="12" t="n">
        <f aca="false">IF(OR(G65="",E65=0),"",(E65/(1+Forudsætninger!$B$3)-G65)/(E65/(1+Forudsætninger!$B$3)))</f>
        <v>0.608886107634543</v>
      </c>
      <c r="I65" s="11" t="n">
        <v>799</v>
      </c>
      <c r="J65" s="10" t="s">
        <v>122</v>
      </c>
      <c r="K65" s="10" t="str">
        <f aca="false">IF(E65=0,"0 KR I SHOPPEN",IF(I65="","INGEN LINJE PÅ LISTEN",IF(E65=I65,"FØLGER LISTEN","AFVIGER FRA LISTEN")))</f>
        <v>FØLGER LISTEN</v>
      </c>
      <c r="L65" s="10" t="s">
        <v>40</v>
      </c>
    </row>
    <row r="66" customFormat="false" ht="15" hidden="false" customHeight="false" outlineLevel="0" collapsed="false">
      <c r="A66" s="10" t="s">
        <v>123</v>
      </c>
      <c r="B66" s="10" t="s">
        <v>86</v>
      </c>
      <c r="C66" s="10"/>
      <c r="D66" s="11" t="n">
        <v>625</v>
      </c>
      <c r="E66" s="11" t="n">
        <v>749</v>
      </c>
      <c r="F66" s="12" t="n">
        <f aca="false">IF(OR(D66="",E66="",D66=0),"",E66/D66-1)</f>
        <v>0.1984</v>
      </c>
      <c r="G66" s="13" t="n">
        <v>230</v>
      </c>
      <c r="H66" s="12" t="n">
        <f aca="false">IF(OR(G66="",E66=0),"",(E66/(1+Forudsætninger!$B$3)-G66)/(E66/(1+Forudsætninger!$B$3)))</f>
        <v>0.616154873164219</v>
      </c>
      <c r="I66" s="11" t="n">
        <v>749</v>
      </c>
      <c r="J66" s="10" t="s">
        <v>124</v>
      </c>
      <c r="K66" s="10" t="str">
        <f aca="false">IF(E66=0,"0 KR I SHOPPEN",IF(I66="","INGEN LINJE PÅ LISTEN",IF(E66=I66,"FØLGER LISTEN","AFVIGER FRA LISTEN")))</f>
        <v>FØLGER LISTEN</v>
      </c>
      <c r="L66" s="10" t="s">
        <v>125</v>
      </c>
    </row>
    <row r="67" customFormat="false" ht="15" hidden="false" customHeight="false" outlineLevel="0" collapsed="false">
      <c r="A67" s="10" t="s">
        <v>126</v>
      </c>
      <c r="B67" s="10" t="s">
        <v>119</v>
      </c>
      <c r="C67" s="10"/>
      <c r="D67" s="11" t="n">
        <v>313</v>
      </c>
      <c r="E67" s="11" t="n">
        <v>699</v>
      </c>
      <c r="F67" s="12" t="n">
        <f aca="false">IF(OR(D67="",E67="",D67=0),"",E67/D67-1)</f>
        <v>1.2332268370607</v>
      </c>
      <c r="G67" s="13" t="n">
        <v>120</v>
      </c>
      <c r="H67" s="12" t="n">
        <f aca="false">IF(OR(G67="",E67=0),"",(E67/(1+Forudsætninger!$B$3)-G67)/(E67/(1+Forudsætninger!$B$3)))</f>
        <v>0.785407725321888</v>
      </c>
      <c r="I67" s="11" t="n">
        <v>699</v>
      </c>
      <c r="J67" s="10" t="s">
        <v>77</v>
      </c>
      <c r="K67" s="10" t="str">
        <f aca="false">IF(E67=0,"0 KR I SHOPPEN",IF(I67="","INGEN LINJE PÅ LISTEN",IF(E67=I67,"FØLGER LISTEN","AFVIGER FRA LISTEN")))</f>
        <v>FØLGER LISTEN</v>
      </c>
      <c r="L67" s="10" t="s">
        <v>40</v>
      </c>
    </row>
    <row r="68" customFormat="false" ht="15" hidden="false" customHeight="false" outlineLevel="0" collapsed="false">
      <c r="A68" s="10" t="s">
        <v>126</v>
      </c>
      <c r="B68" s="10" t="s">
        <v>86</v>
      </c>
      <c r="C68" s="10"/>
      <c r="D68" s="11" t="n">
        <v>563</v>
      </c>
      <c r="E68" s="11" t="n">
        <v>749</v>
      </c>
      <c r="F68" s="12" t="n">
        <f aca="false">IF(OR(D68="",E68="",D68=0),"",E68/D68-1)</f>
        <v>0.330373001776199</v>
      </c>
      <c r="G68" s="13" t="n">
        <v>250</v>
      </c>
      <c r="H68" s="12" t="n">
        <f aca="false">IF(OR(G68="",E68=0),"",(E68/(1+Forudsætninger!$B$3)-G68)/(E68/(1+Forudsætninger!$B$3)))</f>
        <v>0.582777036048064</v>
      </c>
      <c r="I68" s="11" t="n">
        <v>749</v>
      </c>
      <c r="J68" s="10" t="s">
        <v>79</v>
      </c>
      <c r="K68" s="10" t="str">
        <f aca="false">IF(E68=0,"0 KR I SHOPPEN",IF(I68="","INGEN LINJE PÅ LISTEN",IF(E68=I68,"FØLGER LISTEN","AFVIGER FRA LISTEN")))</f>
        <v>FØLGER LISTEN</v>
      </c>
      <c r="L68" s="10" t="s">
        <v>125</v>
      </c>
    </row>
    <row r="69" customFormat="false" ht="15" hidden="false" customHeight="false" outlineLevel="0" collapsed="false">
      <c r="A69" s="10" t="s">
        <v>127</v>
      </c>
      <c r="B69" s="10" t="s">
        <v>86</v>
      </c>
      <c r="C69" s="10"/>
      <c r="D69" s="11" t="n">
        <v>438</v>
      </c>
      <c r="E69" s="11" t="n">
        <v>438</v>
      </c>
      <c r="F69" s="12" t="n">
        <f aca="false">IF(OR(D69="",E69="",D69=0),"",E69/D69-1)</f>
        <v>0</v>
      </c>
      <c r="G69" s="13"/>
      <c r="H69" s="12" t="str">
        <f aca="false">IF(OR(G69="",E69=0),"",(E69/(1+Forudsætninger!$B$3)-G69)/(E69/(1+Forudsætninger!$B$3)))</f>
        <v/>
      </c>
      <c r="I69" s="11" t="n">
        <v>699</v>
      </c>
      <c r="J69" s="10" t="s">
        <v>128</v>
      </c>
      <c r="K69" s="10" t="str">
        <f aca="false">IF(E69=0,"0 KR I SHOPPEN",IF(I69="","INGEN LINJE PÅ LISTEN",IF(E69=I69,"FØLGER LISTEN","AFVIGER FRA LISTEN")))</f>
        <v>AFVIGER FRA LISTEN</v>
      </c>
      <c r="L69" s="10" t="s">
        <v>129</v>
      </c>
    </row>
    <row r="70" customFormat="false" ht="15" hidden="false" customHeight="false" outlineLevel="0" collapsed="false">
      <c r="A70" s="10" t="s">
        <v>130</v>
      </c>
      <c r="B70" s="10" t="s">
        <v>86</v>
      </c>
      <c r="C70" s="10"/>
      <c r="D70" s="11" t="n">
        <v>438</v>
      </c>
      <c r="E70" s="11" t="n">
        <v>438</v>
      </c>
      <c r="F70" s="12" t="n">
        <f aca="false">IF(OR(D70="",E70="",D70=0),"",E70/D70-1)</f>
        <v>0</v>
      </c>
      <c r="G70" s="13"/>
      <c r="H70" s="12" t="str">
        <f aca="false">IF(OR(G70="",E70=0),"",(E70/(1+Forudsætninger!$B$3)-G70)/(E70/(1+Forudsætninger!$B$3)))</f>
        <v/>
      </c>
      <c r="I70" s="11" t="n">
        <v>699</v>
      </c>
      <c r="J70" s="10" t="s">
        <v>128</v>
      </c>
      <c r="K70" s="10" t="str">
        <f aca="false">IF(E70=0,"0 KR I SHOPPEN",IF(I70="","INGEN LINJE PÅ LISTEN",IF(E70=I70,"FØLGER LISTEN","AFVIGER FRA LISTEN")))</f>
        <v>AFVIGER FRA LISTEN</v>
      </c>
      <c r="L70" s="10" t="s">
        <v>129</v>
      </c>
    </row>
    <row r="71" customFormat="false" ht="15" hidden="false" customHeight="false" outlineLevel="0" collapsed="false">
      <c r="A71" s="10" t="s">
        <v>131</v>
      </c>
      <c r="B71" s="10" t="s">
        <v>86</v>
      </c>
      <c r="C71" s="10"/>
      <c r="D71" s="11" t="n">
        <v>313</v>
      </c>
      <c r="E71" s="11" t="n">
        <v>499</v>
      </c>
      <c r="F71" s="12" t="n">
        <f aca="false">IF(OR(D71="",E71="",D71=0),"",E71/D71-1)</f>
        <v>0.594249201277955</v>
      </c>
      <c r="G71" s="13" t="n">
        <v>130</v>
      </c>
      <c r="H71" s="12" t="n">
        <f aca="false">IF(OR(G71="",E71=0),"",(E71/(1+Forudsætninger!$B$3)-G71)/(E71/(1+Forudsætninger!$B$3)))</f>
        <v>0.67434869739479</v>
      </c>
      <c r="I71" s="11" t="n">
        <v>499</v>
      </c>
      <c r="J71" s="10" t="s">
        <v>132</v>
      </c>
      <c r="K71" s="10" t="str">
        <f aca="false">IF(E71=0,"0 KR I SHOPPEN",IF(I71="","INGEN LINJE PÅ LISTEN",IF(E71=I71,"FØLGER LISTEN","AFVIGER FRA LISTEN")))</f>
        <v>FØLGER LISTEN</v>
      </c>
      <c r="L71" s="10" t="s">
        <v>40</v>
      </c>
    </row>
    <row r="72" customFormat="false" ht="15" hidden="false" customHeight="false" outlineLevel="0" collapsed="false">
      <c r="A72" s="10" t="s">
        <v>133</v>
      </c>
      <c r="B72" s="10" t="s">
        <v>88</v>
      </c>
      <c r="C72" s="10"/>
      <c r="D72" s="11" t="n">
        <v>1025</v>
      </c>
      <c r="E72" s="11" t="n">
        <v>1599</v>
      </c>
      <c r="F72" s="12" t="n">
        <f aca="false">IF(OR(D72="",E72="",D72=0),"",E72/D72-1)</f>
        <v>0.56</v>
      </c>
      <c r="G72" s="13" t="n">
        <v>410</v>
      </c>
      <c r="H72" s="12" t="n">
        <f aca="false">IF(OR(G72="",E72=0),"",(E72/(1+Forudsætninger!$B$3)-G72)/(E72/(1+Forudsætninger!$B$3)))</f>
        <v>0.67948717948718</v>
      </c>
      <c r="I72" s="11" t="n">
        <v>1599</v>
      </c>
      <c r="J72" s="10" t="s">
        <v>134</v>
      </c>
      <c r="K72" s="10" t="str">
        <f aca="false">IF(E72=0,"0 KR I SHOPPEN",IF(I72="","INGEN LINJE PÅ LISTEN",IF(E72=I72,"FØLGER LISTEN","AFVIGER FRA LISTEN")))</f>
        <v>FØLGER LISTEN</v>
      </c>
      <c r="L72" s="10" t="s">
        <v>135</v>
      </c>
    </row>
    <row r="73" customFormat="false" ht="15" hidden="false" customHeight="false" outlineLevel="0" collapsed="false">
      <c r="A73" s="10" t="s">
        <v>136</v>
      </c>
      <c r="B73" s="10" t="s">
        <v>86</v>
      </c>
      <c r="C73" s="10"/>
      <c r="D73" s="11" t="n">
        <v>125</v>
      </c>
      <c r="E73" s="11" t="n">
        <v>299</v>
      </c>
      <c r="F73" s="12" t="n">
        <f aca="false">IF(OR(D73="",E73="",D73=0),"",E73/D73-1)</f>
        <v>1.392</v>
      </c>
      <c r="G73" s="13" t="n">
        <v>50</v>
      </c>
      <c r="H73" s="12" t="n">
        <f aca="false">IF(OR(G73="",E73=0),"",(E73/(1+Forudsætninger!$B$3)-G73)/(E73/(1+Forudsætninger!$B$3)))</f>
        <v>0.790969899665552</v>
      </c>
      <c r="I73" s="11" t="n">
        <v>299</v>
      </c>
      <c r="J73" s="10" t="s">
        <v>137</v>
      </c>
      <c r="K73" s="10" t="str">
        <f aca="false">IF(E73=0,"0 KR I SHOPPEN",IF(I73="","INGEN LINJE PÅ LISTEN",IF(E73=I73,"FØLGER LISTEN","AFVIGER FRA LISTEN")))</f>
        <v>FØLGER LISTEN</v>
      </c>
      <c r="L73" s="10" t="s">
        <v>138</v>
      </c>
    </row>
  </sheetData>
  <autoFilter ref="A1:L73"/>
  <conditionalFormatting sqref="A2:L73">
    <cfRule type="expression" priority="2" aboveAverage="0" equalAverage="0" bottom="0" percent="0" rank="0" text="" dxfId="7">
      <formula>$K2="0 KR I SHOPPEN"</formula>
    </cfRule>
    <cfRule type="expression" priority="3" aboveAverage="0" equalAverage="0" bottom="0" percent="0" rank="0" text="" dxfId="8">
      <formula>$K2="AFVIGER FRA LISTEN"</formula>
    </cfRule>
    <cfRule type="expression" priority="4" aboveAverage="0" equalAverage="0" bottom="0" percent="0" rank="0" text="" dxfId="9">
      <formula>$K2="INGEN LINJE PÅ LISTEN"</formula>
    </cfRule>
    <cfRule type="expression" priority="5" aboveAverage="0" equalAverage="0" bottom="0" percent="0" rank="0" text="" dxfId="10">
      <formula>$K2="FØLGER LISTEN"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4" t="s">
        <v>139</v>
      </c>
    </row>
    <row r="3" customFormat="false" ht="15" hidden="false" customHeight="false" outlineLevel="0" collapsed="false">
      <c r="A3" s="0" t="s">
        <v>140</v>
      </c>
      <c r="B3" s="15" t="n">
        <v>0.25</v>
      </c>
    </row>
    <row r="4" customFormat="false" ht="15" hidden="false" customHeight="false" outlineLevel="0" collapsed="false">
      <c r="A4" s="0" t="s">
        <v>141</v>
      </c>
      <c r="B4" s="0" t="s">
        <v>142</v>
      </c>
    </row>
    <row r="5" customFormat="false" ht="15" hidden="false" customHeight="false" outlineLevel="0" collapsed="false">
      <c r="A5" s="0" t="s">
        <v>143</v>
      </c>
      <c r="B5" s="0" t="s">
        <v>144</v>
      </c>
    </row>
    <row r="6" customFormat="false" ht="15" hidden="false" customHeight="false" outlineLevel="0" collapsed="false">
      <c r="A6" s="0" t="s">
        <v>145</v>
      </c>
      <c r="B6" s="0" t="s">
        <v>146</v>
      </c>
    </row>
    <row r="7" customFormat="false" ht="15" hidden="false" customHeight="false" outlineLevel="0" collapsed="false">
      <c r="A7" s="0" t="s">
        <v>147</v>
      </c>
      <c r="B7" s="0" t="s">
        <v>148</v>
      </c>
    </row>
    <row r="8" customFormat="false" ht="15" hidden="false" customHeight="false" outlineLevel="0" collapsed="false">
      <c r="A8" s="0" t="s">
        <v>149</v>
      </c>
      <c r="B8" s="0" t="s">
        <v>150</v>
      </c>
    </row>
    <row r="10" customFormat="false" ht="15" hidden="false" customHeight="false" outlineLevel="0" collapsed="false">
      <c r="A10" s="0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2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16" t="s">
        <v>152</v>
      </c>
      <c r="B1" s="16" t="s">
        <v>23</v>
      </c>
      <c r="C1" s="16" t="s">
        <v>153</v>
      </c>
      <c r="D1" s="16" t="s">
        <v>154</v>
      </c>
    </row>
    <row r="2" customFormat="false" ht="15" hidden="false" customHeight="false" outlineLevel="0" collapsed="false">
      <c r="A2" s="2" t="s">
        <v>155</v>
      </c>
      <c r="B2" s="2" t="s">
        <v>83</v>
      </c>
      <c r="C2" s="2" t="n">
        <v>0</v>
      </c>
      <c r="D2" s="2" t="s">
        <v>156</v>
      </c>
    </row>
    <row r="3" customFormat="false" ht="15" hidden="false" customHeight="false" outlineLevel="0" collapsed="false">
      <c r="A3" s="2" t="s">
        <v>155</v>
      </c>
      <c r="B3" s="2" t="s">
        <v>86</v>
      </c>
      <c r="C3" s="2" t="n">
        <v>0</v>
      </c>
      <c r="D3" s="2" t="s">
        <v>156</v>
      </c>
    </row>
    <row r="4" customFormat="false" ht="15" hidden="false" customHeight="false" outlineLevel="0" collapsed="false">
      <c r="A4" s="2" t="s">
        <v>155</v>
      </c>
      <c r="B4" s="2" t="s">
        <v>88</v>
      </c>
      <c r="C4" s="2" t="n">
        <v>0</v>
      </c>
      <c r="D4" s="2" t="s">
        <v>156</v>
      </c>
    </row>
    <row r="5" customFormat="false" ht="15" hidden="false" customHeight="false" outlineLevel="0" collapsed="false">
      <c r="A5" s="2" t="s">
        <v>157</v>
      </c>
      <c r="B5" s="2" t="s">
        <v>88</v>
      </c>
      <c r="C5" s="2" t="n">
        <v>500</v>
      </c>
      <c r="D5" s="2" t="s">
        <v>158</v>
      </c>
    </row>
    <row r="6" customFormat="false" ht="15" hidden="false" customHeight="false" outlineLevel="0" collapsed="false">
      <c r="A6" s="2" t="s">
        <v>159</v>
      </c>
      <c r="B6" s="2" t="s">
        <v>160</v>
      </c>
      <c r="C6" s="2" t="n">
        <v>225</v>
      </c>
      <c r="D6" s="2" t="s">
        <v>158</v>
      </c>
    </row>
    <row r="7" customFormat="false" ht="15" hidden="false" customHeight="false" outlineLevel="0" collapsed="false">
      <c r="A7" s="2" t="s">
        <v>159</v>
      </c>
      <c r="B7" s="2" t="s">
        <v>83</v>
      </c>
      <c r="C7" s="2" t="n">
        <v>638</v>
      </c>
      <c r="D7" s="2" t="s">
        <v>158</v>
      </c>
    </row>
    <row r="8" customFormat="false" ht="15" hidden="false" customHeight="false" outlineLevel="0" collapsed="false">
      <c r="A8" s="2" t="s">
        <v>130</v>
      </c>
      <c r="B8" s="2" t="s">
        <v>86</v>
      </c>
      <c r="C8" s="2" t="n">
        <v>438</v>
      </c>
      <c r="D8" s="2" t="s">
        <v>158</v>
      </c>
    </row>
    <row r="9" customFormat="false" ht="15" hidden="false" customHeight="false" outlineLevel="0" collapsed="false">
      <c r="A9" s="2" t="s">
        <v>161</v>
      </c>
      <c r="B9" s="2" t="s">
        <v>119</v>
      </c>
      <c r="C9" s="2" t="n">
        <v>250</v>
      </c>
      <c r="D9" s="2" t="s">
        <v>158</v>
      </c>
    </row>
    <row r="10" customFormat="false" ht="15" hidden="false" customHeight="false" outlineLevel="0" collapsed="false">
      <c r="A10" s="2" t="s">
        <v>161</v>
      </c>
      <c r="B10" s="2" t="s">
        <v>86</v>
      </c>
      <c r="C10" s="2" t="n">
        <v>438</v>
      </c>
      <c r="D10" s="2" t="s">
        <v>158</v>
      </c>
    </row>
    <row r="11" customFormat="false" ht="15" hidden="false" customHeight="false" outlineLevel="0" collapsed="false">
      <c r="A11" s="2" t="s">
        <v>162</v>
      </c>
      <c r="B11" s="2" t="s">
        <v>86</v>
      </c>
      <c r="C11" s="2" t="n">
        <v>563</v>
      </c>
      <c r="D11" s="2" t="s">
        <v>158</v>
      </c>
    </row>
    <row r="12" customFormat="false" ht="15" hidden="false" customHeight="false" outlineLevel="0" collapsed="false">
      <c r="A12" s="2" t="s">
        <v>163</v>
      </c>
      <c r="B12" s="2" t="s">
        <v>86</v>
      </c>
      <c r="C12" s="2" t="n">
        <v>563</v>
      </c>
      <c r="D12" s="2" t="s">
        <v>158</v>
      </c>
    </row>
    <row r="13" customFormat="false" ht="15" hidden="false" customHeight="false" outlineLevel="0" collapsed="false">
      <c r="A13" s="2" t="s">
        <v>164</v>
      </c>
      <c r="B13" s="2" t="s">
        <v>101</v>
      </c>
      <c r="C13" s="2" t="n">
        <v>1500</v>
      </c>
      <c r="D13" s="2" t="s">
        <v>158</v>
      </c>
    </row>
    <row r="14" customFormat="false" ht="15" hidden="false" customHeight="false" outlineLevel="0" collapsed="false">
      <c r="A14" s="2" t="s">
        <v>165</v>
      </c>
      <c r="B14" s="2" t="s">
        <v>119</v>
      </c>
      <c r="C14" s="2" t="n">
        <v>219</v>
      </c>
      <c r="D14" s="2" t="s">
        <v>158</v>
      </c>
    </row>
    <row r="15" customFormat="false" ht="15" hidden="false" customHeight="false" outlineLevel="0" collapsed="false">
      <c r="A15" s="2" t="s">
        <v>166</v>
      </c>
      <c r="B15" s="2" t="s">
        <v>101</v>
      </c>
      <c r="C15" s="2" t="n">
        <v>750</v>
      </c>
      <c r="D15" s="2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16" t="s">
        <v>167</v>
      </c>
      <c r="B1" s="16" t="s">
        <v>152</v>
      </c>
      <c r="C1" s="16" t="s">
        <v>23</v>
      </c>
      <c r="D1" s="16" t="s">
        <v>168</v>
      </c>
      <c r="E1" s="16" t="s">
        <v>169</v>
      </c>
      <c r="F1" s="16" t="s">
        <v>154</v>
      </c>
    </row>
    <row r="2" customFormat="false" ht="15" hidden="false" customHeight="false" outlineLevel="0" collapsed="false">
      <c r="A2" s="2" t="n">
        <v>6</v>
      </c>
      <c r="B2" s="2" t="s">
        <v>170</v>
      </c>
      <c r="C2" s="2" t="s">
        <v>171</v>
      </c>
      <c r="D2" s="2" t="n">
        <v>300</v>
      </c>
      <c r="E2" s="2" t="n">
        <v>1299</v>
      </c>
      <c r="F2" s="2" t="s">
        <v>172</v>
      </c>
    </row>
    <row r="3" customFormat="false" ht="15" hidden="false" customHeight="false" outlineLevel="0" collapsed="false">
      <c r="A3" s="2" t="n">
        <v>15</v>
      </c>
      <c r="B3" s="2" t="s">
        <v>173</v>
      </c>
      <c r="C3" s="2" t="s">
        <v>174</v>
      </c>
      <c r="D3" s="2" t="n">
        <v>30</v>
      </c>
      <c r="E3" s="2" t="n">
        <v>50</v>
      </c>
      <c r="F3" s="2" t="s">
        <v>175</v>
      </c>
    </row>
    <row r="4" customFormat="false" ht="15" hidden="false" customHeight="false" outlineLevel="0" collapsed="false">
      <c r="A4" s="2" t="n">
        <v>27</v>
      </c>
      <c r="B4" s="2" t="s">
        <v>176</v>
      </c>
      <c r="C4" s="2" t="s">
        <v>160</v>
      </c>
      <c r="D4" s="2" t="n">
        <v>110</v>
      </c>
      <c r="E4" s="2" t="n">
        <v>299</v>
      </c>
      <c r="F4" s="2" t="s">
        <v>172</v>
      </c>
    </row>
    <row r="5" customFormat="false" ht="15" hidden="false" customHeight="false" outlineLevel="0" collapsed="false">
      <c r="A5" s="2" t="n">
        <v>31</v>
      </c>
      <c r="B5" s="2" t="s">
        <v>177</v>
      </c>
      <c r="C5" s="2" t="s">
        <v>178</v>
      </c>
      <c r="D5" s="2" t="n">
        <v>125</v>
      </c>
      <c r="E5" s="2" t="n">
        <v>249</v>
      </c>
      <c r="F5" s="2" t="s">
        <v>172</v>
      </c>
    </row>
    <row r="6" customFormat="false" ht="15" hidden="false" customHeight="false" outlineLevel="0" collapsed="false">
      <c r="A6" s="2" t="n">
        <v>37</v>
      </c>
      <c r="B6" s="2" t="s">
        <v>179</v>
      </c>
      <c r="C6" s="2" t="s">
        <v>86</v>
      </c>
      <c r="D6" s="2" t="n">
        <v>65</v>
      </c>
      <c r="E6" s="2" t="n">
        <v>249</v>
      </c>
      <c r="F6" s="2" t="s">
        <v>172</v>
      </c>
    </row>
    <row r="7" customFormat="false" ht="15" hidden="false" customHeight="false" outlineLevel="0" collapsed="false">
      <c r="A7" s="2" t="n">
        <v>38</v>
      </c>
      <c r="B7" s="2" t="s">
        <v>179</v>
      </c>
      <c r="C7" s="2" t="s">
        <v>83</v>
      </c>
      <c r="D7" s="2" t="n">
        <v>40</v>
      </c>
      <c r="E7" s="2" t="n">
        <v>199</v>
      </c>
      <c r="F7" s="2" t="s">
        <v>172</v>
      </c>
    </row>
    <row r="8" customFormat="false" ht="15" hidden="false" customHeight="false" outlineLevel="0" collapsed="false">
      <c r="A8" s="2" t="n">
        <v>39</v>
      </c>
      <c r="B8" s="2" t="s">
        <v>179</v>
      </c>
      <c r="C8" s="2" t="s">
        <v>160</v>
      </c>
      <c r="D8" s="2" t="n">
        <v>30</v>
      </c>
      <c r="E8" s="2" t="n">
        <v>99</v>
      </c>
      <c r="F8" s="2" t="s">
        <v>172</v>
      </c>
    </row>
    <row r="9" customFormat="false" ht="15" hidden="false" customHeight="false" outlineLevel="0" collapsed="false">
      <c r="A9" s="2" t="n">
        <v>41</v>
      </c>
      <c r="B9" s="2" t="s">
        <v>180</v>
      </c>
      <c r="C9" s="2" t="s">
        <v>86</v>
      </c>
      <c r="D9" s="2" t="n">
        <v>120</v>
      </c>
      <c r="E9" s="2" t="n">
        <v>299</v>
      </c>
      <c r="F9" s="2" t="s">
        <v>172</v>
      </c>
    </row>
    <row r="10" customFormat="false" ht="15" hidden="false" customHeight="false" outlineLevel="0" collapsed="false">
      <c r="A10" s="2" t="n">
        <v>42</v>
      </c>
      <c r="B10" s="2" t="s">
        <v>180</v>
      </c>
      <c r="C10" s="2" t="s">
        <v>83</v>
      </c>
      <c r="D10" s="2" t="n">
        <v>85</v>
      </c>
      <c r="E10" s="2" t="n">
        <v>249</v>
      </c>
      <c r="F10" s="2" t="s">
        <v>172</v>
      </c>
    </row>
    <row r="11" customFormat="false" ht="15" hidden="false" customHeight="false" outlineLevel="0" collapsed="false">
      <c r="A11" s="2" t="n">
        <v>43</v>
      </c>
      <c r="B11" s="2" t="s">
        <v>180</v>
      </c>
      <c r="C11" s="2" t="s">
        <v>160</v>
      </c>
      <c r="D11" s="2" t="n">
        <v>65</v>
      </c>
      <c r="E11" s="2" t="n">
        <v>149</v>
      </c>
      <c r="F11" s="2" t="s">
        <v>172</v>
      </c>
    </row>
    <row r="12" customFormat="false" ht="15" hidden="false" customHeight="false" outlineLevel="0" collapsed="false">
      <c r="A12" s="2" t="n">
        <v>48</v>
      </c>
      <c r="B12" s="2" t="s">
        <v>181</v>
      </c>
      <c r="C12" s="2" t="s">
        <v>88</v>
      </c>
      <c r="D12" s="2" t="n">
        <v>285</v>
      </c>
      <c r="E12" s="2" t="n">
        <v>1199</v>
      </c>
      <c r="F12" s="2" t="s">
        <v>172</v>
      </c>
    </row>
    <row r="13" customFormat="false" ht="15" hidden="false" customHeight="false" outlineLevel="0" collapsed="false">
      <c r="A13" s="2" t="n">
        <v>52</v>
      </c>
      <c r="B13" s="2" t="s">
        <v>182</v>
      </c>
      <c r="C13" s="2" t="s">
        <v>83</v>
      </c>
      <c r="D13" s="2" t="n">
        <v>185</v>
      </c>
      <c r="E13" s="2" t="n">
        <v>649</v>
      </c>
      <c r="F13" s="2" t="s">
        <v>172</v>
      </c>
    </row>
    <row r="14" customFormat="false" ht="15" hidden="false" customHeight="false" outlineLevel="0" collapsed="false">
      <c r="A14" s="2" t="n">
        <v>55</v>
      </c>
      <c r="B14" s="2" t="s">
        <v>183</v>
      </c>
      <c r="C14" s="2" t="s">
        <v>83</v>
      </c>
      <c r="D14" s="2"/>
      <c r="E14" s="2" t="n">
        <v>599</v>
      </c>
      <c r="F14" s="2" t="s">
        <v>172</v>
      </c>
    </row>
    <row r="15" customFormat="false" ht="15" hidden="false" customHeight="false" outlineLevel="0" collapsed="false">
      <c r="A15" s="2" t="n">
        <v>60</v>
      </c>
      <c r="B15" s="2" t="s">
        <v>184</v>
      </c>
      <c r="C15" s="2" t="s">
        <v>88</v>
      </c>
      <c r="D15" s="2" t="n">
        <v>450</v>
      </c>
      <c r="E15" s="2" t="n">
        <v>1699</v>
      </c>
      <c r="F15" s="2" t="s">
        <v>172</v>
      </c>
    </row>
    <row r="16" customFormat="false" ht="15" hidden="false" customHeight="false" outlineLevel="0" collapsed="false">
      <c r="A16" s="2" t="n">
        <v>62</v>
      </c>
      <c r="B16" s="2" t="s">
        <v>185</v>
      </c>
      <c r="C16" s="2" t="s">
        <v>88</v>
      </c>
      <c r="D16" s="2" t="n">
        <v>425</v>
      </c>
      <c r="E16" s="2" t="n">
        <v>1599</v>
      </c>
      <c r="F16" s="2" t="s">
        <v>172</v>
      </c>
    </row>
    <row r="17" customFormat="false" ht="15" hidden="false" customHeight="false" outlineLevel="0" collapsed="false">
      <c r="A17" s="2" t="n">
        <v>68</v>
      </c>
      <c r="B17" s="2" t="s">
        <v>186</v>
      </c>
      <c r="C17" s="2" t="s">
        <v>119</v>
      </c>
      <c r="D17" s="2" t="n">
        <v>130</v>
      </c>
      <c r="E17" s="2" t="n">
        <v>699</v>
      </c>
      <c r="F17" s="2" t="s">
        <v>175</v>
      </c>
    </row>
    <row r="18" customFormat="false" ht="15" hidden="false" customHeight="false" outlineLevel="0" collapsed="false">
      <c r="A18" s="2" t="n">
        <v>70</v>
      </c>
      <c r="B18" s="2" t="s">
        <v>187</v>
      </c>
      <c r="C18" s="2" t="s">
        <v>119</v>
      </c>
      <c r="D18" s="2" t="n">
        <v>130</v>
      </c>
      <c r="E18" s="2" t="n">
        <v>699</v>
      </c>
      <c r="F18" s="2" t="s">
        <v>175</v>
      </c>
    </row>
    <row r="19" customFormat="false" ht="15" hidden="false" customHeight="false" outlineLevel="0" collapsed="false">
      <c r="A19" s="2" t="n">
        <v>71</v>
      </c>
      <c r="B19" s="2" t="s">
        <v>188</v>
      </c>
      <c r="C19" s="2" t="s">
        <v>119</v>
      </c>
      <c r="D19" s="2" t="n">
        <v>130</v>
      </c>
      <c r="E19" s="2" t="n">
        <v>699</v>
      </c>
      <c r="F19" s="2" t="s">
        <v>175</v>
      </c>
    </row>
    <row r="20" customFormat="false" ht="15" hidden="false" customHeight="false" outlineLevel="0" collapsed="false">
      <c r="A20" s="2" t="n">
        <v>72</v>
      </c>
      <c r="B20" s="2" t="s">
        <v>189</v>
      </c>
      <c r="C20" s="2" t="s">
        <v>119</v>
      </c>
      <c r="D20" s="2" t="n">
        <v>130</v>
      </c>
      <c r="E20" s="2" t="n">
        <v>699</v>
      </c>
      <c r="F20" s="2" t="s">
        <v>175</v>
      </c>
    </row>
    <row r="21" customFormat="false" ht="15" hidden="false" customHeight="false" outlineLevel="0" collapsed="false">
      <c r="A21" s="2" t="n">
        <v>73</v>
      </c>
      <c r="B21" s="2" t="s">
        <v>190</v>
      </c>
      <c r="C21" s="2" t="s">
        <v>119</v>
      </c>
      <c r="D21" s="2" t="n">
        <v>130</v>
      </c>
      <c r="E21" s="2" t="n">
        <v>699</v>
      </c>
      <c r="F21" s="2" t="s">
        <v>175</v>
      </c>
    </row>
    <row r="22" customFormat="false" ht="15" hidden="false" customHeight="false" outlineLevel="0" collapsed="false">
      <c r="A22" s="2" t="n">
        <v>74</v>
      </c>
      <c r="B22" s="2" t="s">
        <v>191</v>
      </c>
      <c r="C22" s="2" t="s">
        <v>119</v>
      </c>
      <c r="D22" s="2" t="n">
        <v>130</v>
      </c>
      <c r="E22" s="2" t="n">
        <v>699</v>
      </c>
      <c r="F22" s="2" t="s">
        <v>175</v>
      </c>
    </row>
    <row r="23" customFormat="false" ht="15" hidden="false" customHeight="false" outlineLevel="0" collapsed="false">
      <c r="A23" s="2" t="n">
        <v>76</v>
      </c>
      <c r="B23" s="2" t="s">
        <v>192</v>
      </c>
      <c r="C23" s="2" t="s">
        <v>83</v>
      </c>
      <c r="D23" s="2" t="n">
        <v>30</v>
      </c>
      <c r="E23" s="2" t="n">
        <v>199</v>
      </c>
      <c r="F23" s="2" t="s">
        <v>172</v>
      </c>
    </row>
    <row r="24" customFormat="false" ht="15" hidden="false" customHeight="false" outlineLevel="0" collapsed="false">
      <c r="A24" s="2" t="n">
        <v>77</v>
      </c>
      <c r="B24" s="2" t="s">
        <v>192</v>
      </c>
      <c r="C24" s="2" t="s">
        <v>160</v>
      </c>
      <c r="D24" s="2" t="n">
        <v>30</v>
      </c>
      <c r="E24" s="2" t="n">
        <v>149</v>
      </c>
      <c r="F24" s="2" t="s">
        <v>172</v>
      </c>
    </row>
    <row r="25" customFormat="false" ht="15" hidden="false" customHeight="false" outlineLevel="0" collapsed="false">
      <c r="A25" s="2" t="n">
        <v>78</v>
      </c>
      <c r="B25" s="2" t="s">
        <v>193</v>
      </c>
      <c r="C25" s="2" t="s">
        <v>88</v>
      </c>
      <c r="D25" s="2" t="n">
        <v>300</v>
      </c>
      <c r="E25" s="2" t="n">
        <v>1499</v>
      </c>
      <c r="F25" s="2" t="s">
        <v>172</v>
      </c>
    </row>
    <row r="26" customFormat="false" ht="15" hidden="false" customHeight="false" outlineLevel="0" collapsed="false">
      <c r="A26" s="2" t="n">
        <v>82</v>
      </c>
      <c r="B26" s="2" t="s">
        <v>194</v>
      </c>
      <c r="C26" s="2" t="s">
        <v>86</v>
      </c>
      <c r="D26" s="2" t="n">
        <v>130</v>
      </c>
      <c r="E26" s="2" t="n">
        <v>499</v>
      </c>
      <c r="F26" s="2" t="s">
        <v>175</v>
      </c>
    </row>
    <row r="27" customFormat="false" ht="15" hidden="false" customHeight="false" outlineLevel="0" collapsed="false">
      <c r="A27" s="2" t="n">
        <v>83</v>
      </c>
      <c r="B27" s="2" t="s">
        <v>195</v>
      </c>
      <c r="C27" s="2" t="s">
        <v>86</v>
      </c>
      <c r="D27" s="2" t="n">
        <v>130</v>
      </c>
      <c r="E27" s="2" t="n">
        <v>499</v>
      </c>
      <c r="F27" s="2" t="s">
        <v>175</v>
      </c>
    </row>
    <row r="28" customFormat="false" ht="15" hidden="false" customHeight="false" outlineLevel="0" collapsed="false">
      <c r="A28" s="2" t="n">
        <v>84</v>
      </c>
      <c r="B28" s="2" t="s">
        <v>196</v>
      </c>
      <c r="C28" s="2" t="s">
        <v>86</v>
      </c>
      <c r="D28" s="2" t="n">
        <v>130</v>
      </c>
      <c r="E28" s="2" t="n">
        <v>499</v>
      </c>
      <c r="F28" s="2" t="s">
        <v>175</v>
      </c>
    </row>
    <row r="29" customFormat="false" ht="15" hidden="false" customHeight="false" outlineLevel="0" collapsed="false">
      <c r="A29" s="2" t="n">
        <v>85</v>
      </c>
      <c r="B29" s="2" t="s">
        <v>197</v>
      </c>
      <c r="C29" s="2" t="s">
        <v>86</v>
      </c>
      <c r="D29" s="2" t="n">
        <v>130</v>
      </c>
      <c r="E29" s="2" t="n">
        <v>499</v>
      </c>
      <c r="F29" s="2" t="s">
        <v>175</v>
      </c>
    </row>
    <row r="30" customFormat="false" ht="15" hidden="false" customHeight="false" outlineLevel="0" collapsed="false">
      <c r="A30" s="2" t="n">
        <v>87</v>
      </c>
      <c r="B30" s="2" t="s">
        <v>198</v>
      </c>
      <c r="C30" s="2" t="s">
        <v>199</v>
      </c>
      <c r="D30" s="2" t="n">
        <v>900</v>
      </c>
      <c r="E30" s="2" t="n">
        <v>1895</v>
      </c>
      <c r="F30" s="2" t="s">
        <v>200</v>
      </c>
    </row>
    <row r="31" customFormat="false" ht="15" hidden="false" customHeight="false" outlineLevel="0" collapsed="false">
      <c r="A31" s="2" t="n">
        <v>88</v>
      </c>
      <c r="B31" s="2" t="s">
        <v>201</v>
      </c>
      <c r="C31" s="2" t="s">
        <v>199</v>
      </c>
      <c r="D31" s="2" t="n">
        <v>900</v>
      </c>
      <c r="E31" s="2" t="n">
        <v>1895</v>
      </c>
      <c r="F31" s="2" t="s">
        <v>200</v>
      </c>
    </row>
    <row r="32" customFormat="false" ht="15" hidden="false" customHeight="false" outlineLevel="0" collapsed="false">
      <c r="A32" s="2" t="n">
        <v>89</v>
      </c>
      <c r="B32" s="2" t="s">
        <v>202</v>
      </c>
      <c r="C32" s="2" t="s">
        <v>203</v>
      </c>
      <c r="D32" s="2" t="n">
        <v>450</v>
      </c>
      <c r="E32" s="2" t="n">
        <v>1500</v>
      </c>
      <c r="F32" s="2" t="s">
        <v>200</v>
      </c>
    </row>
    <row r="33" customFormat="false" ht="15" hidden="false" customHeight="false" outlineLevel="0" collapsed="false">
      <c r="A33" s="2" t="n">
        <v>90</v>
      </c>
      <c r="B33" s="2" t="s">
        <v>204</v>
      </c>
      <c r="C33" s="2" t="s">
        <v>203</v>
      </c>
      <c r="D33" s="2" t="n">
        <v>450</v>
      </c>
      <c r="E33" s="2" t="n">
        <v>1500</v>
      </c>
      <c r="F33" s="2" t="s">
        <v>200</v>
      </c>
    </row>
    <row r="34" customFormat="false" ht="15" hidden="false" customHeight="false" outlineLevel="0" collapsed="false">
      <c r="A34" s="2" t="n">
        <v>91</v>
      </c>
      <c r="B34" s="2" t="s">
        <v>205</v>
      </c>
      <c r="C34" s="2" t="s">
        <v>203</v>
      </c>
      <c r="D34" s="2" t="n">
        <v>1850</v>
      </c>
      <c r="E34" s="2" t="n">
        <v>3649</v>
      </c>
      <c r="F34" s="2" t="s">
        <v>200</v>
      </c>
    </row>
    <row r="35" customFormat="false" ht="15" hidden="false" customHeight="false" outlineLevel="0" collapsed="false">
      <c r="A35" s="2" t="n">
        <v>92</v>
      </c>
      <c r="B35" s="2" t="s">
        <v>206</v>
      </c>
      <c r="C35" s="2" t="s">
        <v>207</v>
      </c>
      <c r="D35" s="2" t="n">
        <v>2500</v>
      </c>
      <c r="E35" s="2" t="n">
        <v>5199</v>
      </c>
      <c r="F35" s="2" t="s">
        <v>200</v>
      </c>
    </row>
    <row r="36" customFormat="false" ht="15" hidden="false" customHeight="false" outlineLevel="0" collapsed="false">
      <c r="A36" s="2" t="n">
        <v>93</v>
      </c>
      <c r="B36" s="2" t="s">
        <v>208</v>
      </c>
      <c r="C36" s="2" t="s">
        <v>209</v>
      </c>
      <c r="D36" s="2" t="n">
        <v>20</v>
      </c>
      <c r="E36" s="2" t="n">
        <v>75</v>
      </c>
      <c r="F36" s="2" t="s">
        <v>200</v>
      </c>
    </row>
    <row r="37" customFormat="false" ht="15" hidden="false" customHeight="false" outlineLevel="0" collapsed="false">
      <c r="A37" s="2" t="n">
        <v>94</v>
      </c>
      <c r="B37" s="2" t="s">
        <v>210</v>
      </c>
      <c r="C37" s="2" t="s">
        <v>209</v>
      </c>
      <c r="D37" s="2" t="n">
        <v>25</v>
      </c>
      <c r="E37" s="2" t="n">
        <v>95</v>
      </c>
      <c r="F37" s="2" t="s">
        <v>200</v>
      </c>
    </row>
    <row r="38" customFormat="false" ht="15" hidden="false" customHeight="false" outlineLevel="0" collapsed="false">
      <c r="A38" s="2" t="n">
        <v>95</v>
      </c>
      <c r="B38" s="2" t="s">
        <v>211</v>
      </c>
      <c r="C38" s="2" t="s">
        <v>212</v>
      </c>
      <c r="D38" s="2" t="n">
        <v>40</v>
      </c>
      <c r="E38" s="2" t="n">
        <v>140</v>
      </c>
      <c r="F38" s="2" t="s">
        <v>200</v>
      </c>
    </row>
    <row r="39" customFormat="false" ht="15" hidden="false" customHeight="false" outlineLevel="0" collapsed="false">
      <c r="A39" s="2" t="n">
        <v>96</v>
      </c>
      <c r="B39" s="2" t="s">
        <v>213</v>
      </c>
      <c r="C39" s="2" t="s">
        <v>214</v>
      </c>
      <c r="D39" s="2" t="n">
        <v>20</v>
      </c>
      <c r="E39" s="2" t="n">
        <v>140</v>
      </c>
      <c r="F39" s="2" t="s">
        <v>200</v>
      </c>
    </row>
    <row r="40" customFormat="false" ht="15" hidden="false" customHeight="false" outlineLevel="0" collapsed="false">
      <c r="A40" s="2" t="n">
        <v>97</v>
      </c>
      <c r="B40" s="2" t="s">
        <v>215</v>
      </c>
      <c r="C40" s="2" t="s">
        <v>214</v>
      </c>
      <c r="D40" s="2" t="n">
        <v>10</v>
      </c>
      <c r="E40" s="2" t="n">
        <v>55</v>
      </c>
      <c r="F40" s="2" t="s">
        <v>200</v>
      </c>
    </row>
    <row r="41" customFormat="false" ht="15" hidden="false" customHeight="false" outlineLevel="0" collapsed="false">
      <c r="A41" s="2" t="n">
        <v>98</v>
      </c>
      <c r="B41" s="2" t="s">
        <v>216</v>
      </c>
      <c r="C41" s="2" t="s">
        <v>214</v>
      </c>
      <c r="D41" s="2" t="n">
        <v>30</v>
      </c>
      <c r="E41" s="2" t="n">
        <v>65</v>
      </c>
      <c r="F41" s="2" t="s">
        <v>200</v>
      </c>
    </row>
    <row r="42" customFormat="false" ht="15" hidden="false" customHeight="false" outlineLevel="0" collapsed="false">
      <c r="A42" s="2" t="n">
        <v>99</v>
      </c>
      <c r="B42" s="2" t="s">
        <v>217</v>
      </c>
      <c r="C42" s="2" t="s">
        <v>214</v>
      </c>
      <c r="D42" s="2" t="n">
        <v>70</v>
      </c>
      <c r="E42" s="2" t="n">
        <v>140</v>
      </c>
      <c r="F42" s="2" t="s">
        <v>200</v>
      </c>
    </row>
    <row r="43" customFormat="false" ht="15" hidden="false" customHeight="false" outlineLevel="0" collapsed="false">
      <c r="A43" s="2" t="n">
        <v>100</v>
      </c>
      <c r="B43" s="2" t="s">
        <v>218</v>
      </c>
      <c r="C43" s="2" t="s">
        <v>214</v>
      </c>
      <c r="D43" s="2" t="n">
        <v>100</v>
      </c>
      <c r="E43" s="2" t="n">
        <v>175</v>
      </c>
      <c r="F43" s="2" t="s">
        <v>200</v>
      </c>
    </row>
    <row r="44" customFormat="false" ht="15" hidden="false" customHeight="false" outlineLevel="0" collapsed="false">
      <c r="A44" s="2" t="n">
        <v>101</v>
      </c>
      <c r="B44" s="2" t="s">
        <v>219</v>
      </c>
      <c r="C44" s="2" t="s">
        <v>214</v>
      </c>
      <c r="D44" s="2" t="n">
        <v>125</v>
      </c>
      <c r="E44" s="2" t="n">
        <v>220</v>
      </c>
      <c r="F44" s="2" t="s">
        <v>200</v>
      </c>
    </row>
    <row r="45" customFormat="false" ht="15" hidden="false" customHeight="false" outlineLevel="0" collapsed="false">
      <c r="A45" s="2" t="n">
        <v>102</v>
      </c>
      <c r="B45" s="2" t="s">
        <v>220</v>
      </c>
      <c r="C45" s="2" t="s">
        <v>214</v>
      </c>
      <c r="D45" s="2" t="n">
        <v>160</v>
      </c>
      <c r="E45" s="2" t="n">
        <v>400</v>
      </c>
      <c r="F45" s="2" t="s">
        <v>200</v>
      </c>
    </row>
    <row r="46" customFormat="false" ht="15" hidden="false" customHeight="false" outlineLevel="0" collapsed="false">
      <c r="A46" s="2" t="n">
        <v>103</v>
      </c>
      <c r="B46" s="2" t="s">
        <v>221</v>
      </c>
      <c r="C46" s="2" t="s">
        <v>214</v>
      </c>
      <c r="D46" s="2" t="n">
        <v>35</v>
      </c>
      <c r="E46" s="2" t="n">
        <v>95</v>
      </c>
      <c r="F46" s="2" t="s">
        <v>200</v>
      </c>
    </row>
    <row r="47" customFormat="false" ht="15" hidden="false" customHeight="false" outlineLevel="0" collapsed="false">
      <c r="A47" s="2" t="n">
        <v>104</v>
      </c>
      <c r="B47" s="2" t="s">
        <v>222</v>
      </c>
      <c r="C47" s="2" t="s">
        <v>214</v>
      </c>
      <c r="D47" s="2" t="n">
        <v>110</v>
      </c>
      <c r="E47" s="2" t="n">
        <v>225</v>
      </c>
      <c r="F47" s="2" t="s">
        <v>200</v>
      </c>
    </row>
    <row r="48" customFormat="false" ht="15" hidden="false" customHeight="false" outlineLevel="0" collapsed="false">
      <c r="A48" s="2" t="n">
        <v>105</v>
      </c>
      <c r="B48" s="2" t="s">
        <v>223</v>
      </c>
      <c r="C48" s="2" t="s">
        <v>214</v>
      </c>
      <c r="D48" s="2" t="n">
        <v>65</v>
      </c>
      <c r="E48" s="2" t="n">
        <v>90</v>
      </c>
      <c r="F48" s="2" t="s">
        <v>175</v>
      </c>
    </row>
    <row r="49" customFormat="false" ht="15" hidden="false" customHeight="false" outlineLevel="0" collapsed="false">
      <c r="A49" s="2" t="n">
        <v>106</v>
      </c>
      <c r="B49" s="2" t="s">
        <v>224</v>
      </c>
      <c r="C49" s="2" t="s">
        <v>225</v>
      </c>
      <c r="D49" s="2" t="n">
        <v>450</v>
      </c>
      <c r="E49" s="2" t="n">
        <v>799</v>
      </c>
      <c r="F49" s="2" t="s">
        <v>200</v>
      </c>
    </row>
    <row r="50" customFormat="false" ht="15" hidden="false" customHeight="false" outlineLevel="0" collapsed="false">
      <c r="A50" s="2" t="n">
        <v>107</v>
      </c>
      <c r="B50" s="2" t="s">
        <v>226</v>
      </c>
      <c r="C50" s="2" t="s">
        <v>225</v>
      </c>
      <c r="D50" s="2" t="n">
        <v>500</v>
      </c>
      <c r="E50" s="2" t="n">
        <v>899</v>
      </c>
      <c r="F50" s="2" t="s">
        <v>200</v>
      </c>
    </row>
    <row r="51" customFormat="false" ht="15" hidden="false" customHeight="false" outlineLevel="0" collapsed="false">
      <c r="A51" s="2" t="n">
        <v>108</v>
      </c>
      <c r="B51" s="2" t="s">
        <v>227</v>
      </c>
      <c r="C51" s="2" t="s">
        <v>225</v>
      </c>
      <c r="D51" s="2" t="n">
        <v>550</v>
      </c>
      <c r="E51" s="2" t="n">
        <v>925</v>
      </c>
      <c r="F51" s="2" t="s">
        <v>200</v>
      </c>
    </row>
    <row r="52" customFormat="false" ht="15" hidden="false" customHeight="false" outlineLevel="0" collapsed="false">
      <c r="A52" s="2" t="n">
        <v>109</v>
      </c>
      <c r="B52" s="2" t="s">
        <v>228</v>
      </c>
      <c r="C52" s="2" t="s">
        <v>225</v>
      </c>
      <c r="D52" s="2" t="n">
        <v>775</v>
      </c>
      <c r="E52" s="2" t="n">
        <v>1025</v>
      </c>
      <c r="F52" s="2" t="s">
        <v>200</v>
      </c>
    </row>
    <row r="53" customFormat="false" ht="15" hidden="false" customHeight="false" outlineLevel="0" collapsed="false">
      <c r="A53" s="2" t="n">
        <v>110</v>
      </c>
      <c r="B53" s="2" t="s">
        <v>229</v>
      </c>
      <c r="C53" s="2" t="s">
        <v>207</v>
      </c>
      <c r="D53" s="2" t="n">
        <v>4500</v>
      </c>
      <c r="E53" s="2" t="n">
        <v>5500</v>
      </c>
      <c r="F53" s="2" t="s">
        <v>200</v>
      </c>
    </row>
    <row r="54" customFormat="false" ht="15" hidden="false" customHeight="false" outlineLevel="0" collapsed="false">
      <c r="A54" s="2" t="n">
        <v>111</v>
      </c>
      <c r="B54" s="2" t="s">
        <v>230</v>
      </c>
      <c r="C54" s="2" t="s">
        <v>203</v>
      </c>
      <c r="D54" s="2" t="n">
        <v>3000</v>
      </c>
      <c r="E54" s="2" t="n">
        <v>4800</v>
      </c>
      <c r="F54" s="2" t="s">
        <v>200</v>
      </c>
    </row>
    <row r="55" customFormat="false" ht="15" hidden="false" customHeight="false" outlineLevel="0" collapsed="false">
      <c r="A55" s="2" t="n">
        <v>112</v>
      </c>
      <c r="B55" s="2" t="s">
        <v>231</v>
      </c>
      <c r="C55" s="2" t="s">
        <v>232</v>
      </c>
      <c r="D55" s="2" t="n">
        <v>2000</v>
      </c>
      <c r="E55" s="2" t="n">
        <v>3500</v>
      </c>
      <c r="F55" s="2" t="s">
        <v>200</v>
      </c>
    </row>
    <row r="56" customFormat="false" ht="15" hidden="false" customHeight="false" outlineLevel="0" collapsed="false">
      <c r="A56" s="2" t="n">
        <v>113</v>
      </c>
      <c r="B56" s="2" t="s">
        <v>233</v>
      </c>
      <c r="C56" s="2" t="s">
        <v>207</v>
      </c>
      <c r="D56" s="2" t="n">
        <v>5500</v>
      </c>
      <c r="E56" s="2" t="n">
        <v>6500</v>
      </c>
      <c r="F56" s="2" t="s">
        <v>200</v>
      </c>
    </row>
    <row r="57" customFormat="false" ht="15" hidden="false" customHeight="false" outlineLevel="0" collapsed="false">
      <c r="A57" s="2" t="n">
        <v>114</v>
      </c>
      <c r="B57" s="2" t="s">
        <v>234</v>
      </c>
      <c r="C57" s="2" t="s">
        <v>203</v>
      </c>
      <c r="D57" s="2" t="n">
        <v>3500</v>
      </c>
      <c r="E57" s="2" t="n">
        <v>4000</v>
      </c>
      <c r="F57" s="2" t="s">
        <v>200</v>
      </c>
    </row>
    <row r="58" customFormat="false" ht="15" hidden="false" customHeight="false" outlineLevel="0" collapsed="false">
      <c r="A58" s="2" t="n">
        <v>115</v>
      </c>
      <c r="B58" s="2" t="s">
        <v>235</v>
      </c>
      <c r="C58" s="2" t="s">
        <v>232</v>
      </c>
      <c r="D58" s="2" t="n">
        <v>2500</v>
      </c>
      <c r="E58" s="2" t="n">
        <v>3500</v>
      </c>
      <c r="F58" s="2" t="s">
        <v>200</v>
      </c>
    </row>
    <row r="59" customFormat="false" ht="15" hidden="false" customHeight="false" outlineLevel="0" collapsed="false">
      <c r="A59" s="2" t="n">
        <v>116</v>
      </c>
      <c r="B59" s="2" t="s">
        <v>236</v>
      </c>
      <c r="C59" s="2" t="s">
        <v>119</v>
      </c>
      <c r="D59" s="2" t="n">
        <v>150</v>
      </c>
      <c r="E59" s="2" t="n">
        <v>700</v>
      </c>
      <c r="F59" s="2" t="s">
        <v>175</v>
      </c>
    </row>
    <row r="60" customFormat="false" ht="15" hidden="false" customHeight="false" outlineLevel="0" collapsed="false">
      <c r="A60" s="2" t="n">
        <v>117</v>
      </c>
      <c r="B60" s="2" t="s">
        <v>236</v>
      </c>
      <c r="C60" s="2" t="s">
        <v>86</v>
      </c>
      <c r="D60" s="2" t="n">
        <v>300</v>
      </c>
      <c r="E60" s="2" t="n">
        <v>1350</v>
      </c>
      <c r="F60" s="2" t="s">
        <v>175</v>
      </c>
    </row>
    <row r="61" customFormat="false" ht="15" hidden="false" customHeight="false" outlineLevel="0" collapsed="false">
      <c r="A61" s="2" t="n">
        <v>118</v>
      </c>
      <c r="B61" s="2" t="s">
        <v>236</v>
      </c>
      <c r="C61" s="2" t="s">
        <v>88</v>
      </c>
      <c r="D61" s="2" t="n">
        <v>600</v>
      </c>
      <c r="E61" s="2" t="n">
        <v>2500</v>
      </c>
      <c r="F61" s="2" t="s">
        <v>175</v>
      </c>
    </row>
    <row r="62" customFormat="false" ht="15" hidden="false" customHeight="false" outlineLevel="0" collapsed="false">
      <c r="A62" s="2" t="n">
        <v>119</v>
      </c>
      <c r="B62" s="2" t="s">
        <v>237</v>
      </c>
      <c r="C62" s="2" t="s">
        <v>119</v>
      </c>
      <c r="D62" s="2" t="n">
        <v>150</v>
      </c>
      <c r="E62" s="2" t="n">
        <v>700</v>
      </c>
      <c r="F62" s="2" t="s">
        <v>175</v>
      </c>
    </row>
    <row r="63" customFormat="false" ht="15" hidden="false" customHeight="false" outlineLevel="0" collapsed="false">
      <c r="A63" s="2" t="n">
        <v>120</v>
      </c>
      <c r="B63" s="2" t="s">
        <v>237</v>
      </c>
      <c r="C63" s="2" t="s">
        <v>86</v>
      </c>
      <c r="D63" s="2" t="n">
        <v>300</v>
      </c>
      <c r="E63" s="2" t="n">
        <v>1350</v>
      </c>
      <c r="F63" s="2" t="s">
        <v>175</v>
      </c>
    </row>
    <row r="64" customFormat="false" ht="15" hidden="false" customHeight="false" outlineLevel="0" collapsed="false">
      <c r="A64" s="2" t="n">
        <v>121</v>
      </c>
      <c r="B64" s="2" t="s">
        <v>237</v>
      </c>
      <c r="C64" s="2" t="s">
        <v>101</v>
      </c>
      <c r="D64" s="2" t="n">
        <v>1200</v>
      </c>
      <c r="E64" s="2" t="n">
        <v>5400</v>
      </c>
      <c r="F64" s="2" t="s">
        <v>175</v>
      </c>
    </row>
    <row r="65" customFormat="false" ht="15" hidden="false" customHeight="false" outlineLevel="0" collapsed="false">
      <c r="A65" s="2" t="n">
        <v>122</v>
      </c>
      <c r="B65" s="2" t="s">
        <v>238</v>
      </c>
      <c r="C65" s="2" t="s">
        <v>119</v>
      </c>
      <c r="D65" s="2" t="n">
        <v>150</v>
      </c>
      <c r="E65" s="2" t="n">
        <v>700</v>
      </c>
      <c r="F65" s="2" t="s">
        <v>175</v>
      </c>
    </row>
    <row r="66" customFormat="false" ht="15" hidden="false" customHeight="false" outlineLevel="0" collapsed="false">
      <c r="A66" s="2" t="n">
        <v>123</v>
      </c>
      <c r="B66" s="2" t="s">
        <v>238</v>
      </c>
      <c r="C66" s="2" t="s">
        <v>86</v>
      </c>
      <c r="D66" s="2" t="n">
        <v>300</v>
      </c>
      <c r="E66" s="2" t="n">
        <v>1350</v>
      </c>
      <c r="F66" s="2" t="s">
        <v>175</v>
      </c>
    </row>
    <row r="67" customFormat="false" ht="15" hidden="false" customHeight="false" outlineLevel="0" collapsed="false">
      <c r="A67" s="2" t="n">
        <v>124</v>
      </c>
      <c r="B67" s="2" t="s">
        <v>238</v>
      </c>
      <c r="C67" s="2" t="s">
        <v>88</v>
      </c>
      <c r="D67" s="2" t="n">
        <v>600</v>
      </c>
      <c r="E67" s="2" t="n">
        <v>2500</v>
      </c>
      <c r="F67" s="2" t="s">
        <v>175</v>
      </c>
    </row>
    <row r="68" customFormat="false" ht="15" hidden="false" customHeight="false" outlineLevel="0" collapsed="false">
      <c r="A68" s="2" t="n">
        <v>125</v>
      </c>
      <c r="B68" s="2" t="s">
        <v>238</v>
      </c>
      <c r="C68" s="2" t="s">
        <v>101</v>
      </c>
      <c r="D68" s="2" t="n">
        <v>1200</v>
      </c>
      <c r="E68" s="2" t="n">
        <v>5400</v>
      </c>
      <c r="F68" s="2" t="s">
        <v>175</v>
      </c>
    </row>
    <row r="69" customFormat="false" ht="15" hidden="false" customHeight="false" outlineLevel="0" collapsed="false">
      <c r="A69" s="2" t="n">
        <v>126</v>
      </c>
      <c r="B69" s="2" t="s">
        <v>238</v>
      </c>
      <c r="C69" s="2" t="s">
        <v>239</v>
      </c>
      <c r="D69" s="2" t="n">
        <v>12000</v>
      </c>
      <c r="E69" s="2" t="n">
        <v>40000</v>
      </c>
      <c r="F69" s="2" t="s">
        <v>175</v>
      </c>
    </row>
    <row r="70" customFormat="false" ht="15" hidden="false" customHeight="false" outlineLevel="0" collapsed="false">
      <c r="A70" s="2" t="n">
        <v>127</v>
      </c>
      <c r="B70" s="2" t="s">
        <v>240</v>
      </c>
      <c r="C70" s="2" t="s">
        <v>119</v>
      </c>
      <c r="D70" s="2" t="n">
        <v>150</v>
      </c>
      <c r="E70" s="2" t="n">
        <v>700</v>
      </c>
      <c r="F70" s="2" t="s">
        <v>175</v>
      </c>
    </row>
    <row r="71" customFormat="false" ht="15" hidden="false" customHeight="false" outlineLevel="0" collapsed="false">
      <c r="A71" s="2" t="n">
        <v>128</v>
      </c>
      <c r="B71" s="2" t="s">
        <v>240</v>
      </c>
      <c r="C71" s="2" t="s">
        <v>86</v>
      </c>
      <c r="D71" s="2" t="n">
        <v>300</v>
      </c>
      <c r="E71" s="2" t="n">
        <v>1350</v>
      </c>
      <c r="F71" s="2" t="s">
        <v>175</v>
      </c>
    </row>
    <row r="72" customFormat="false" ht="15" hidden="false" customHeight="false" outlineLevel="0" collapsed="false">
      <c r="A72" s="2" t="n">
        <v>129</v>
      </c>
      <c r="B72" s="2" t="s">
        <v>240</v>
      </c>
      <c r="C72" s="2" t="s">
        <v>88</v>
      </c>
      <c r="D72" s="2" t="n">
        <v>600</v>
      </c>
      <c r="E72" s="2" t="n">
        <v>2500</v>
      </c>
      <c r="F72" s="2" t="s">
        <v>175</v>
      </c>
    </row>
    <row r="73" customFormat="false" ht="15" hidden="false" customHeight="false" outlineLevel="0" collapsed="false">
      <c r="A73" s="2" t="n">
        <v>130</v>
      </c>
      <c r="B73" s="2" t="s">
        <v>240</v>
      </c>
      <c r="C73" s="2" t="s">
        <v>101</v>
      </c>
      <c r="D73" s="2" t="n">
        <v>1200</v>
      </c>
      <c r="E73" s="2" t="n">
        <v>5400</v>
      </c>
      <c r="F73" s="2" t="s">
        <v>175</v>
      </c>
    </row>
    <row r="74" customFormat="false" ht="15" hidden="false" customHeight="false" outlineLevel="0" collapsed="false">
      <c r="A74" s="2" t="n">
        <v>131</v>
      </c>
      <c r="B74" s="2" t="s">
        <v>240</v>
      </c>
      <c r="C74" s="2" t="s">
        <v>239</v>
      </c>
      <c r="D74" s="2" t="n">
        <v>12000</v>
      </c>
      <c r="E74" s="2" t="n">
        <v>40000</v>
      </c>
      <c r="F74" s="2" t="s">
        <v>175</v>
      </c>
    </row>
    <row r="75" customFormat="false" ht="15" hidden="false" customHeight="false" outlineLevel="0" collapsed="false">
      <c r="A75" s="2" t="n">
        <v>132</v>
      </c>
      <c r="B75" s="2" t="s">
        <v>241</v>
      </c>
      <c r="C75" s="2" t="s">
        <v>242</v>
      </c>
      <c r="D75" s="2" t="s">
        <v>243</v>
      </c>
      <c r="E75" s="2" t="n">
        <v>1100</v>
      </c>
      <c r="F75" s="2" t="s">
        <v>175</v>
      </c>
    </row>
    <row r="76" customFormat="false" ht="15" hidden="false" customHeight="false" outlineLevel="0" collapsed="false">
      <c r="A76" s="2" t="n">
        <v>133</v>
      </c>
      <c r="B76" s="2" t="s">
        <v>241</v>
      </c>
      <c r="C76" s="2" t="s">
        <v>244</v>
      </c>
      <c r="D76" s="2" t="s">
        <v>245</v>
      </c>
      <c r="E76" s="2" t="n">
        <v>1800</v>
      </c>
      <c r="F76" s="2" t="s">
        <v>175</v>
      </c>
    </row>
    <row r="77" customFormat="false" ht="15" hidden="false" customHeight="false" outlineLevel="0" collapsed="false">
      <c r="A77" s="2" t="n">
        <v>134</v>
      </c>
      <c r="B77" s="2" t="s">
        <v>241</v>
      </c>
      <c r="C77" s="2" t="s">
        <v>246</v>
      </c>
      <c r="D77" s="2" t="s">
        <v>247</v>
      </c>
      <c r="E77" s="2" t="n">
        <v>4400</v>
      </c>
      <c r="F77" s="2" t="s">
        <v>175</v>
      </c>
    </row>
    <row r="78" customFormat="false" ht="15" hidden="false" customHeight="false" outlineLevel="0" collapsed="false">
      <c r="A78" s="2" t="n">
        <v>135</v>
      </c>
      <c r="B78" s="2" t="s">
        <v>248</v>
      </c>
      <c r="C78" s="2" t="s">
        <v>242</v>
      </c>
      <c r="D78" s="2" t="s">
        <v>243</v>
      </c>
      <c r="E78" s="2" t="n">
        <v>1100</v>
      </c>
      <c r="F78" s="2" t="s">
        <v>175</v>
      </c>
    </row>
    <row r="79" customFormat="false" ht="15" hidden="false" customHeight="false" outlineLevel="0" collapsed="false">
      <c r="A79" s="2" t="n">
        <v>136</v>
      </c>
      <c r="B79" s="2" t="s">
        <v>248</v>
      </c>
      <c r="C79" s="2" t="s">
        <v>244</v>
      </c>
      <c r="D79" s="2" t="s">
        <v>245</v>
      </c>
      <c r="E79" s="2" t="n">
        <v>1800</v>
      </c>
      <c r="F79" s="2" t="s">
        <v>175</v>
      </c>
    </row>
    <row r="80" customFormat="false" ht="15" hidden="false" customHeight="false" outlineLevel="0" collapsed="false">
      <c r="A80" s="2" t="n">
        <v>137</v>
      </c>
      <c r="B80" s="2" t="s">
        <v>248</v>
      </c>
      <c r="C80" s="2" t="s">
        <v>246</v>
      </c>
      <c r="D80" s="2" t="s">
        <v>247</v>
      </c>
      <c r="E80" s="2" t="n">
        <v>4400</v>
      </c>
      <c r="F80" s="2" t="s">
        <v>175</v>
      </c>
    </row>
    <row r="81" customFormat="false" ht="15" hidden="false" customHeight="false" outlineLevel="0" collapsed="false">
      <c r="A81" s="2" t="n">
        <v>138</v>
      </c>
      <c r="B81" s="2" t="s">
        <v>249</v>
      </c>
      <c r="C81" s="2" t="s">
        <v>242</v>
      </c>
      <c r="D81" s="2" t="s">
        <v>243</v>
      </c>
      <c r="E81" s="2" t="n">
        <v>1100</v>
      </c>
      <c r="F81" s="2" t="s">
        <v>175</v>
      </c>
    </row>
    <row r="82" customFormat="false" ht="15" hidden="false" customHeight="false" outlineLevel="0" collapsed="false">
      <c r="A82" s="2" t="n">
        <v>139</v>
      </c>
      <c r="B82" s="2" t="s">
        <v>249</v>
      </c>
      <c r="C82" s="2" t="s">
        <v>244</v>
      </c>
      <c r="D82" s="2" t="s">
        <v>245</v>
      </c>
      <c r="E82" s="2" t="n">
        <v>1800</v>
      </c>
      <c r="F82" s="2" t="s">
        <v>175</v>
      </c>
    </row>
    <row r="83" customFormat="false" ht="15" hidden="false" customHeight="false" outlineLevel="0" collapsed="false">
      <c r="A83" s="2" t="n">
        <v>140</v>
      </c>
      <c r="B83" s="2" t="s">
        <v>249</v>
      </c>
      <c r="C83" s="2" t="s">
        <v>246</v>
      </c>
      <c r="D83" s="2" t="s">
        <v>247</v>
      </c>
      <c r="E83" s="2" t="n">
        <v>4400</v>
      </c>
      <c r="F83" s="2" t="s">
        <v>175</v>
      </c>
    </row>
    <row r="84" customFormat="false" ht="15" hidden="false" customHeight="false" outlineLevel="0" collapsed="false">
      <c r="A84" s="2" t="n">
        <v>141</v>
      </c>
      <c r="B84" s="2" t="s">
        <v>250</v>
      </c>
      <c r="C84" s="2" t="s">
        <v>119</v>
      </c>
      <c r="D84" s="2" t="n">
        <v>150</v>
      </c>
      <c r="E84" s="2" t="n">
        <v>700</v>
      </c>
      <c r="F84" s="2" t="s">
        <v>175</v>
      </c>
    </row>
    <row r="85" customFormat="false" ht="15" hidden="false" customHeight="false" outlineLevel="0" collapsed="false">
      <c r="A85" s="2" t="n">
        <v>142</v>
      </c>
      <c r="B85" s="2" t="s">
        <v>250</v>
      </c>
      <c r="C85" s="2" t="s">
        <v>86</v>
      </c>
      <c r="D85" s="2" t="n">
        <v>300</v>
      </c>
      <c r="E85" s="2" t="n">
        <v>1350</v>
      </c>
      <c r="F85" s="2" t="s">
        <v>175</v>
      </c>
    </row>
    <row r="86" customFormat="false" ht="15" hidden="false" customHeight="false" outlineLevel="0" collapsed="false">
      <c r="A86" s="2" t="n">
        <v>143</v>
      </c>
      <c r="B86" s="2" t="s">
        <v>250</v>
      </c>
      <c r="C86" s="2" t="s">
        <v>101</v>
      </c>
      <c r="D86" s="2" t="n">
        <v>1200</v>
      </c>
      <c r="E86" s="2" t="n">
        <v>5400</v>
      </c>
      <c r="F86" s="2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2026-09-02T11:23:50Z</dcterms:created>
  <dc:creator>openpyxl</dc:creator>
  <dc:description/>
  <dc:language>en-US</dc:language>
  <cp:lastModifiedBy/>
  <dcterms:modified xsi:type="dcterms:W3CDTF">2026-09-02T11:23:50Z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