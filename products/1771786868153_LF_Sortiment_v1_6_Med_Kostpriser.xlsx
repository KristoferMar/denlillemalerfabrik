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ment v1.2 - 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65" customWidth="1" min="2" max="2"/>
  </cols>
  <sheetData>
    <row r="1">
      <c r="A1" t="inlineStr">
        <is>
          <t>Kategori</t>
        </is>
      </c>
      <c r="B1" s="1" t="inlineStr">
        <is>
          <t>Produktnavn</t>
        </is>
      </c>
      <c r="C1" t="inlineStr">
        <is>
          <t>Størrelse</t>
        </is>
      </c>
      <c r="D1" t="inlineStr">
        <is>
          <t>Enhed</t>
        </is>
      </c>
      <c r="E1" t="inlineStr">
        <is>
          <t>Indkøbspris ekskl. moms</t>
        </is>
      </c>
      <c r="F1" t="inlineStr">
        <is>
          <t>Udsalgspris ekskl. moms</t>
        </is>
      </c>
      <c r="G1" t="inlineStr">
        <is>
          <t>Rabat %</t>
        </is>
      </c>
      <c r="H1" t="inlineStr">
        <is>
          <t>Slutpris ekskl. moms</t>
        </is>
      </c>
      <c r="I1" t="inlineStr">
        <is>
          <t>Slutpris inkl. moms</t>
        </is>
      </c>
      <c r="J1" t="inlineStr">
        <is>
          <t>Avance %</t>
        </is>
      </c>
      <c r="K1" t="inlineStr">
        <is>
          <t>Dækningsbidrag kr.</t>
        </is>
      </c>
    </row>
    <row r="2">
      <c r="A2" t="inlineStr">
        <is>
          <t>Spartel &amp; Forbehandling</t>
        </is>
      </c>
      <c r="B2" s="2" t="inlineStr">
        <is>
          <t>Sandspartel Fin</t>
        </is>
      </c>
      <c r="C2" t="inlineStr">
        <is>
          <t>5 L</t>
        </is>
      </c>
      <c r="D2" t="inlineStr">
        <is>
          <t>L</t>
        </is>
      </c>
      <c r="H2">
        <f>F2*(1-IFERROR(G2,0)/100)</f>
        <v/>
      </c>
      <c r="I2">
        <f>H2*1.25</f>
        <v/>
      </c>
      <c r="J2">
        <f>IF(H2=0,"",(H2-E2)/H2)</f>
        <v/>
      </c>
      <c r="K2">
        <f>IF(H2=0,"",H2-E2)</f>
        <v/>
      </c>
    </row>
    <row r="3">
      <c r="A3" t="inlineStr">
        <is>
          <t>Spartel &amp; Forbehandling</t>
        </is>
      </c>
      <c r="B3" s="2" t="inlineStr">
        <is>
          <t>Sandspartel Fin</t>
        </is>
      </c>
      <c r="C3" t="inlineStr">
        <is>
          <t>10 L</t>
        </is>
      </c>
      <c r="D3" t="inlineStr">
        <is>
          <t>L</t>
        </is>
      </c>
      <c r="H3">
        <f>F3*(1-IFERROR(G3,0)/100)</f>
        <v/>
      </c>
      <c r="I3">
        <f>H3*1.25</f>
        <v/>
      </c>
      <c r="J3">
        <f>IF(H3=0,"",(H3-E3)/H3)</f>
        <v/>
      </c>
      <c r="K3">
        <f>IF(H3=0,"",H3-E3)</f>
        <v/>
      </c>
    </row>
    <row r="4">
      <c r="A4" t="inlineStr">
        <is>
          <t>Spartel &amp; Forbehandling</t>
        </is>
      </c>
      <c r="B4" s="2" t="inlineStr">
        <is>
          <t>Sandspartel Medium</t>
        </is>
      </c>
      <c r="C4" t="inlineStr">
        <is>
          <t>10 L</t>
        </is>
      </c>
      <c r="D4" t="inlineStr">
        <is>
          <t>L</t>
        </is>
      </c>
      <c r="H4">
        <f>F4*(1-IFERROR(G4,0)/100)</f>
        <v/>
      </c>
      <c r="I4">
        <f>H4*1.25</f>
        <v/>
      </c>
      <c r="J4">
        <f>IF(H4=0,"",(H4-E4)/H4)</f>
        <v/>
      </c>
      <c r="K4">
        <f>IF(H4=0,"",H4-E4)</f>
        <v/>
      </c>
    </row>
    <row r="5">
      <c r="A5" t="inlineStr">
        <is>
          <t>Spartel &amp; Forbehandling</t>
        </is>
      </c>
      <c r="B5" s="2" t="inlineStr">
        <is>
          <t>Letspartel (Finish)</t>
        </is>
      </c>
      <c r="C5" t="inlineStr">
        <is>
          <t>5 L</t>
        </is>
      </c>
      <c r="D5" t="inlineStr">
        <is>
          <t>L</t>
        </is>
      </c>
      <c r="H5">
        <f>F5*(1-IFERROR(G5,0)/100)</f>
        <v/>
      </c>
      <c r="I5">
        <f>H5*1.25</f>
        <v/>
      </c>
      <c r="J5">
        <f>IF(H5=0,"",(H5-E5)/H5)</f>
        <v/>
      </c>
      <c r="K5">
        <f>IF(H5=0,"",H5-E5)</f>
        <v/>
      </c>
    </row>
    <row r="6">
      <c r="A6" t="inlineStr">
        <is>
          <t>Spartel &amp; Forbehandling</t>
        </is>
      </c>
      <c r="B6" s="2" t="inlineStr">
        <is>
          <t>Vådrumsspartel</t>
        </is>
      </c>
      <c r="C6" t="inlineStr">
        <is>
          <t>10 L</t>
        </is>
      </c>
      <c r="D6" t="inlineStr">
        <is>
          <t>L</t>
        </is>
      </c>
      <c r="H6">
        <f>F6*(1-IFERROR(G6,0)/100)</f>
        <v/>
      </c>
      <c r="I6">
        <f>H6*1.25</f>
        <v/>
      </c>
      <c r="J6">
        <f>IF(H6=0,"",(H6-E6)/H6)</f>
        <v/>
      </c>
      <c r="K6">
        <f>IF(H6=0,"",H6-E6)</f>
        <v/>
      </c>
    </row>
    <row r="7">
      <c r="A7" t="inlineStr">
        <is>
          <t>Spartel &amp; Forbehandling</t>
        </is>
      </c>
      <c r="B7" s="2" t="inlineStr">
        <is>
          <t>Microdispers (blåtonet, inde/ude)</t>
        </is>
      </c>
      <c r="C7" t="inlineStr">
        <is>
          <t>10 L</t>
        </is>
      </c>
      <c r="D7" t="inlineStr">
        <is>
          <t>L</t>
        </is>
      </c>
      <c r="E7" t="n">
        <v>350</v>
      </c>
      <c r="H7">
        <f>F7*(1-IFERROR(G7,0)/100)</f>
        <v/>
      </c>
      <c r="I7">
        <f>H7*1.25</f>
        <v/>
      </c>
      <c r="J7">
        <f>IF(H7=0,"",(H7-E7)/H7)</f>
        <v/>
      </c>
      <c r="K7">
        <f>IF(H7=0,"",H7-E7)</f>
        <v/>
      </c>
    </row>
    <row r="8">
      <c r="A8" t="inlineStr">
        <is>
          <t>Spartel &amp; Forbehandling</t>
        </is>
      </c>
      <c r="B8" s="2" t="inlineStr">
        <is>
          <t>Microdispersgrunder (tixotropisk)</t>
        </is>
      </c>
      <c r="C8" t="inlineStr">
        <is>
          <t>2,5 L</t>
        </is>
      </c>
      <c r="D8" t="inlineStr">
        <is>
          <t>L</t>
        </is>
      </c>
      <c r="E8" t="n">
        <v>87.5</v>
      </c>
      <c r="H8">
        <f>F8*(1-IFERROR(G8,0)/100)</f>
        <v/>
      </c>
      <c r="I8">
        <f>H8*1.25</f>
        <v/>
      </c>
      <c r="J8">
        <f>IF(H8=0,"",(H8-E8)/H8)</f>
        <v/>
      </c>
      <c r="K8">
        <f>IF(H8=0,"",H8-E8)</f>
        <v/>
      </c>
    </row>
    <row r="9">
      <c r="A9" t="inlineStr">
        <is>
          <t>Spartel &amp; Forbehandling</t>
        </is>
      </c>
      <c r="B9" s="2" t="inlineStr">
        <is>
          <t>Microdispers Microgrunder (hvidpigmenteret)</t>
        </is>
      </c>
      <c r="C9" t="inlineStr">
        <is>
          <t>10 L</t>
        </is>
      </c>
      <c r="D9" t="inlineStr">
        <is>
          <t>L</t>
        </is>
      </c>
      <c r="E9" t="n">
        <v>200</v>
      </c>
      <c r="H9">
        <f>F9*(1-IFERROR(G9,0)/100)</f>
        <v/>
      </c>
      <c r="I9">
        <f>H9*1.25</f>
        <v/>
      </c>
      <c r="J9">
        <f>IF(H9=0,"",(H9-E9)/H9)</f>
        <v/>
      </c>
      <c r="K9">
        <f>IF(H9=0,"",H9-E9)</f>
        <v/>
      </c>
    </row>
    <row r="10">
      <c r="A10" t="inlineStr">
        <is>
          <t>Spartel &amp; Forbehandling</t>
        </is>
      </c>
      <c r="B10" s="2" t="inlineStr">
        <is>
          <t>Grundingsolie vandig</t>
        </is>
      </c>
      <c r="C10" t="inlineStr">
        <is>
          <t>5 L</t>
        </is>
      </c>
      <c r="D10" t="inlineStr">
        <is>
          <t>L</t>
        </is>
      </c>
      <c r="E10" t="n">
        <v>100</v>
      </c>
      <c r="H10">
        <f>F10*(1-IFERROR(G10,0)/100)</f>
        <v/>
      </c>
      <c r="I10">
        <f>H10*1.25</f>
        <v/>
      </c>
      <c r="J10">
        <f>IF(H10=0,"",(H10-E10)/H10)</f>
        <v/>
      </c>
      <c r="K10">
        <f>IF(H10=0,"",H10-E10)</f>
        <v/>
      </c>
    </row>
    <row r="11">
      <c r="A11" t="inlineStr">
        <is>
          <t>Spartel &amp; Forbehandling</t>
        </is>
      </c>
      <c r="B11" s="2" t="inlineStr">
        <is>
          <t>Grundingsolie vandig</t>
        </is>
      </c>
      <c r="C11" t="inlineStr">
        <is>
          <t>10 L</t>
        </is>
      </c>
      <c r="D11" t="inlineStr">
        <is>
          <t>L</t>
        </is>
      </c>
      <c r="E11" t="n">
        <v>200</v>
      </c>
      <c r="H11">
        <f>F11*(1-IFERROR(G11,0)/100)</f>
        <v/>
      </c>
      <c r="I11">
        <f>H11*1.25</f>
        <v/>
      </c>
      <c r="J11">
        <f>IF(H11=0,"",(H11-E11)/H11)</f>
        <v/>
      </c>
      <c r="K11">
        <f>IF(H11=0,"",H11-E11)</f>
        <v/>
      </c>
    </row>
    <row r="12">
      <c r="A12" t="inlineStr">
        <is>
          <t>Spartel &amp; Forbehandling</t>
        </is>
      </c>
      <c r="B12" s="2" t="inlineStr">
        <is>
          <t>Grundingsolie vandig (industri)</t>
        </is>
      </c>
      <c r="C12" t="inlineStr">
        <is>
          <t>20 L</t>
        </is>
      </c>
      <c r="D12" t="inlineStr">
        <is>
          <t>L</t>
        </is>
      </c>
      <c r="E12" t="n">
        <v>300</v>
      </c>
      <c r="H12">
        <f>F12*(1-IFERROR(G12,0)/100)</f>
        <v/>
      </c>
      <c r="I12">
        <f>H12*1.25</f>
        <v/>
      </c>
      <c r="J12">
        <f>IF(H12=0,"",(H12-E12)/H12)</f>
        <v/>
      </c>
      <c r="K12">
        <f>IF(H12=0,"",H12-E12)</f>
        <v/>
      </c>
    </row>
    <row r="13">
      <c r="A13" t="inlineStr">
        <is>
          <t>Spartel &amp; Forbehandling</t>
        </is>
      </c>
      <c r="B13" s="2" t="inlineStr">
        <is>
          <t>Alkyd træ grundingsolie</t>
        </is>
      </c>
      <c r="C13" t="inlineStr">
        <is>
          <t>5 L</t>
        </is>
      </c>
      <c r="D13" t="inlineStr">
        <is>
          <t>L</t>
        </is>
      </c>
      <c r="E13" t="n">
        <v>200</v>
      </c>
      <c r="H13">
        <f>F13*(1-IFERROR(G13,0)/100)</f>
        <v/>
      </c>
      <c r="I13">
        <f>H13*1.25</f>
        <v/>
      </c>
      <c r="J13">
        <f>IF(H13=0,"",(H13-E13)/H13)</f>
        <v/>
      </c>
      <c r="K13">
        <f>IF(H13=0,"",H13-E13)</f>
        <v/>
      </c>
    </row>
    <row r="14">
      <c r="A14" t="inlineStr">
        <is>
          <t>Spartel &amp; Forbehandling</t>
        </is>
      </c>
      <c r="B14" s="2" t="inlineStr">
        <is>
          <t>Alkyd træ grundingsolie</t>
        </is>
      </c>
      <c r="C14" t="inlineStr">
        <is>
          <t>20 L</t>
        </is>
      </c>
      <c r="D14" t="inlineStr">
        <is>
          <t>L</t>
        </is>
      </c>
      <c r="E14" t="n">
        <v>700</v>
      </c>
      <c r="H14">
        <f>F14*(1-IFERROR(G14,0)/100)</f>
        <v/>
      </c>
      <c r="I14">
        <f>H14*1.25</f>
        <v/>
      </c>
      <c r="J14">
        <f>IF(H14=0,"",(H14-E14)/H14)</f>
        <v/>
      </c>
      <c r="K14">
        <f>IF(H14=0,"",H14-E14)</f>
        <v/>
      </c>
    </row>
    <row r="15">
      <c r="A15" t="inlineStr">
        <is>
          <t>Væg &amp; Loft</t>
        </is>
      </c>
      <c r="B15" s="2" t="inlineStr">
        <is>
          <t>Loft- &amp; vægmaling Glans 5</t>
        </is>
      </c>
      <c r="C15" t="inlineStr">
        <is>
          <t>3 L</t>
        </is>
      </c>
      <c r="D15" t="inlineStr">
        <is>
          <t>L</t>
        </is>
      </c>
      <c r="H15">
        <f>F15*(1-IFERROR(G15,0)/100)</f>
        <v/>
      </c>
      <c r="I15">
        <f>H15*1.25</f>
        <v/>
      </c>
      <c r="J15">
        <f>IF(H15=0,"",(H15-E15)/H15)</f>
        <v/>
      </c>
      <c r="K15">
        <f>IF(H15=0,"",H15-E15)</f>
        <v/>
      </c>
    </row>
    <row r="16">
      <c r="A16" t="inlineStr">
        <is>
          <t>Væg &amp; Loft</t>
        </is>
      </c>
      <c r="B16" s="2" t="inlineStr">
        <is>
          <t>Loft- &amp; vægmaling Glans 5</t>
        </is>
      </c>
      <c r="C16" t="inlineStr">
        <is>
          <t>5 L</t>
        </is>
      </c>
      <c r="D16" t="inlineStr">
        <is>
          <t>L</t>
        </is>
      </c>
      <c r="H16">
        <f>F16*(1-IFERROR(G16,0)/100)</f>
        <v/>
      </c>
      <c r="I16">
        <f>H16*1.25</f>
        <v/>
      </c>
      <c r="J16">
        <f>IF(H16=0,"",(H16-E16)/H16)</f>
        <v/>
      </c>
      <c r="K16">
        <f>IF(H16=0,"",H16-E16)</f>
        <v/>
      </c>
    </row>
    <row r="17">
      <c r="A17" t="inlineStr">
        <is>
          <t>Væg &amp; Loft</t>
        </is>
      </c>
      <c r="B17" s="2" t="inlineStr">
        <is>
          <t>Loft- &amp; vægmaling Glans 5</t>
        </is>
      </c>
      <c r="C17" t="inlineStr">
        <is>
          <t>10 L</t>
        </is>
      </c>
      <c r="D17" t="inlineStr">
        <is>
          <t>L</t>
        </is>
      </c>
      <c r="H17">
        <f>F17*(1-IFERROR(G17,0)/100)</f>
        <v/>
      </c>
      <c r="I17">
        <f>H17*1.25</f>
        <v/>
      </c>
      <c r="J17">
        <f>IF(H17=0,"",(H17-E17)/H17)</f>
        <v/>
      </c>
      <c r="K17">
        <f>IF(H17=0,"",H17-E17)</f>
        <v/>
      </c>
    </row>
    <row r="18">
      <c r="A18" t="inlineStr">
        <is>
          <t>Væg &amp; Loft</t>
        </is>
      </c>
      <c r="B18" s="2" t="inlineStr">
        <is>
          <t>Vægmaling Glans 10</t>
        </is>
      </c>
      <c r="C18" t="inlineStr">
        <is>
          <t>3 L</t>
        </is>
      </c>
      <c r="D18" t="inlineStr">
        <is>
          <t>L</t>
        </is>
      </c>
      <c r="E18" t="n">
        <v>105</v>
      </c>
      <c r="H18">
        <f>F18*(1-IFERROR(G18,0)/100)</f>
        <v/>
      </c>
      <c r="I18">
        <f>H18*1.25</f>
        <v/>
      </c>
      <c r="J18">
        <f>IF(H18=0,"",(H18-E18)/H18)</f>
        <v/>
      </c>
      <c r="K18">
        <f>IF(H18=0,"",H18-E18)</f>
        <v/>
      </c>
    </row>
    <row r="19">
      <c r="A19" t="inlineStr">
        <is>
          <t>Væg &amp; Loft</t>
        </is>
      </c>
      <c r="B19" s="2" t="inlineStr">
        <is>
          <t>Vægmaling Glans 10</t>
        </is>
      </c>
      <c r="C19" t="inlineStr">
        <is>
          <t>10 L</t>
        </is>
      </c>
      <c r="D19" t="inlineStr">
        <is>
          <t>L</t>
        </is>
      </c>
      <c r="E19" t="n">
        <v>230</v>
      </c>
      <c r="H19">
        <f>F19*(1-IFERROR(G19,0)/100)</f>
        <v/>
      </c>
      <c r="I19">
        <f>H19*1.25</f>
        <v/>
      </c>
      <c r="J19">
        <f>IF(H19=0,"",(H19-E19)/H19)</f>
        <v/>
      </c>
      <c r="K19">
        <f>IF(H19=0,"",H19-E19)</f>
        <v/>
      </c>
    </row>
    <row r="20">
      <c r="A20" t="inlineStr">
        <is>
          <t>Væg &amp; Loft</t>
        </is>
      </c>
      <c r="B20" s="2" t="inlineStr">
        <is>
          <t>Vægmaling Køkken &amp; Bad Glans 25</t>
        </is>
      </c>
      <c r="C20" t="inlineStr">
        <is>
          <t>3 L</t>
        </is>
      </c>
      <c r="D20" t="inlineStr">
        <is>
          <t>L</t>
        </is>
      </c>
      <c r="E20" t="n">
        <v>150</v>
      </c>
      <c r="H20">
        <f>F20*(1-IFERROR(G20,0)/100)</f>
        <v/>
      </c>
      <c r="I20">
        <f>H20*1.25</f>
        <v/>
      </c>
      <c r="J20">
        <f>IF(H20=0,"",(H20-E20)/H20)</f>
        <v/>
      </c>
      <c r="K20">
        <f>IF(H20=0,"",H20-E20)</f>
        <v/>
      </c>
    </row>
    <row r="21">
      <c r="A21" t="inlineStr">
        <is>
          <t>Væg &amp; Loft</t>
        </is>
      </c>
      <c r="B21" s="2" t="inlineStr">
        <is>
          <t>Vægmaling Køkken &amp; Bad Glans 25</t>
        </is>
      </c>
      <c r="C21" t="inlineStr">
        <is>
          <t>5 L</t>
        </is>
      </c>
      <c r="D21" t="inlineStr">
        <is>
          <t>L</t>
        </is>
      </c>
      <c r="H21">
        <f>F21*(1-IFERROR(G21,0)/100)</f>
        <v/>
      </c>
      <c r="I21">
        <f>H21*1.25</f>
        <v/>
      </c>
      <c r="J21">
        <f>IF(H21=0,"",(H21-E21)/H21)</f>
        <v/>
      </c>
      <c r="K21">
        <f>IF(H21=0,"",H21-E21)</f>
        <v/>
      </c>
    </row>
    <row r="22">
      <c r="A22" t="inlineStr">
        <is>
          <t>Væg &amp; Loft</t>
        </is>
      </c>
      <c r="B22" s="2" t="inlineStr">
        <is>
          <t>Vægmaling Køkken &amp; Bad Glans 25</t>
        </is>
      </c>
      <c r="C22" t="inlineStr">
        <is>
          <t>10 L</t>
        </is>
      </c>
      <c r="D22" t="inlineStr">
        <is>
          <t>L</t>
        </is>
      </c>
      <c r="E22" t="n">
        <v>360</v>
      </c>
      <c r="H22">
        <f>F22*(1-IFERROR(G22,0)/100)</f>
        <v/>
      </c>
      <c r="I22">
        <f>H22*1.25</f>
        <v/>
      </c>
      <c r="J22">
        <f>IF(H22=0,"",(H22-E22)/H22)</f>
        <v/>
      </c>
      <c r="K22">
        <f>IF(H22=0,"",H22-E22)</f>
        <v/>
      </c>
    </row>
    <row r="23">
      <c r="A23" t="inlineStr">
        <is>
          <t>Væg &amp; Loft</t>
        </is>
      </c>
      <c r="B23" s="2" t="inlineStr">
        <is>
          <t>Vandskuringsmaling</t>
        </is>
      </c>
      <c r="C23" t="inlineStr">
        <is>
          <t>10 L</t>
        </is>
      </c>
      <c r="D23" t="inlineStr">
        <is>
          <t>L</t>
        </is>
      </c>
      <c r="E23" t="n">
        <v>200</v>
      </c>
      <c r="H23">
        <f>F23*(1-IFERROR(G23,0)/100)</f>
        <v/>
      </c>
      <c r="I23">
        <f>H23*1.25</f>
        <v/>
      </c>
      <c r="J23">
        <f>IF(H23=0,"",(H23-E23)/H23)</f>
        <v/>
      </c>
      <c r="K23">
        <f>IF(H23=0,"",H23-E23)</f>
        <v/>
      </c>
    </row>
    <row r="24">
      <c r="A24" t="inlineStr">
        <is>
          <t>Væg &amp; Loft</t>
        </is>
      </c>
      <c r="B24" s="2" t="inlineStr">
        <is>
          <t>Strukturmaling</t>
        </is>
      </c>
      <c r="C24" t="inlineStr">
        <is>
          <t>10 L</t>
        </is>
      </c>
      <c r="D24" t="inlineStr">
        <is>
          <t>L</t>
        </is>
      </c>
      <c r="E24" t="n">
        <v>200</v>
      </c>
      <c r="H24">
        <f>F24*(1-IFERROR(G24,0)/100)</f>
        <v/>
      </c>
      <c r="I24">
        <f>H24*1.25</f>
        <v/>
      </c>
      <c r="J24">
        <f>IF(H24=0,"",(H24-E24)/H24)</f>
        <v/>
      </c>
      <c r="K24">
        <f>IF(H24=0,"",H24-E24)</f>
        <v/>
      </c>
    </row>
    <row r="25">
      <c r="A25" t="inlineStr">
        <is>
          <t>Træ &amp; Metal</t>
        </is>
      </c>
      <c r="B25" s="2" t="inlineStr">
        <is>
          <t>Akryl emalie Glans 40</t>
        </is>
      </c>
      <c r="C25" t="inlineStr">
        <is>
          <t>1 L</t>
        </is>
      </c>
      <c r="D25" t="inlineStr">
        <is>
          <t>L</t>
        </is>
      </c>
      <c r="E25" t="n">
        <v>90</v>
      </c>
      <c r="H25">
        <f>F25*(1-IFERROR(G25,0)/100)</f>
        <v/>
      </c>
      <c r="I25">
        <f>H25*1.25</f>
        <v/>
      </c>
      <c r="J25">
        <f>IF(H25=0,"",(H25-E25)/H25)</f>
        <v/>
      </c>
      <c r="K25">
        <f>IF(H25=0,"",H25-E25)</f>
        <v/>
      </c>
    </row>
    <row r="26">
      <c r="A26" t="inlineStr">
        <is>
          <t>Træ &amp; Metal</t>
        </is>
      </c>
      <c r="B26" s="2" t="inlineStr">
        <is>
          <t>Akryl emalie Glans 40</t>
        </is>
      </c>
      <c r="C26" t="inlineStr">
        <is>
          <t>3 L</t>
        </is>
      </c>
      <c r="D26" t="inlineStr">
        <is>
          <t>L</t>
        </is>
      </c>
      <c r="E26" t="n">
        <v>255</v>
      </c>
      <c r="H26">
        <f>F26*(1-IFERROR(G26,0)/100)</f>
        <v/>
      </c>
      <c r="I26">
        <f>H26*1.25</f>
        <v/>
      </c>
      <c r="J26">
        <f>IF(H26=0,"",(H26-E26)/H26)</f>
        <v/>
      </c>
      <c r="K26">
        <f>IF(H26=0,"",H26-E26)</f>
        <v/>
      </c>
    </row>
    <row r="27">
      <c r="A27" t="inlineStr">
        <is>
          <t>Træ &amp; Metal</t>
        </is>
      </c>
      <c r="B27" s="2" t="inlineStr">
        <is>
          <t>PU gulvlak</t>
        </is>
      </c>
      <c r="C27" t="inlineStr">
        <is>
          <t>10 L</t>
        </is>
      </c>
      <c r="D27" t="inlineStr">
        <is>
          <t>L</t>
        </is>
      </c>
      <c r="E27" t="n">
        <v>410</v>
      </c>
      <c r="H27">
        <f>F27*(1-IFERROR(G27,0)/100)</f>
        <v/>
      </c>
      <c r="I27">
        <f>H27*1.25</f>
        <v/>
      </c>
      <c r="J27">
        <f>IF(H27=0,"",(H27-E27)/H27)</f>
        <v/>
      </c>
      <c r="K27">
        <f>IF(H27=0,"",H27-E27)</f>
        <v/>
      </c>
    </row>
    <row r="28">
      <c r="A28" t="inlineStr">
        <is>
          <t>Træbeskyttelse &amp; Olie</t>
        </is>
      </c>
      <c r="B28" s="2" t="inlineStr">
        <is>
          <t>Træbeskyttelse heldækkende (alkyd/olie)</t>
        </is>
      </c>
      <c r="C28" t="inlineStr">
        <is>
          <t>2,5 L</t>
        </is>
      </c>
      <c r="D28" t="inlineStr">
        <is>
          <t>L</t>
        </is>
      </c>
      <c r="E28" t="n">
        <v>125</v>
      </c>
      <c r="H28">
        <f>F28*(1-IFERROR(G28,0)/100)</f>
        <v/>
      </c>
      <c r="I28">
        <f>H28*1.25</f>
        <v/>
      </c>
      <c r="J28">
        <f>IF(H28=0,"",(H28-E28)/H28)</f>
        <v/>
      </c>
      <c r="K28">
        <f>IF(H28=0,"",H28-E28)</f>
        <v/>
      </c>
    </row>
    <row r="29">
      <c r="A29" t="inlineStr">
        <is>
          <t>Træbeskyttelse &amp; Olie</t>
        </is>
      </c>
      <c r="B29" s="2" t="inlineStr">
        <is>
          <t>Træbeskyttelse heldækkende (alkyd/olie)</t>
        </is>
      </c>
      <c r="C29" t="inlineStr">
        <is>
          <t>5 L</t>
        </is>
      </c>
      <c r="D29" t="inlineStr">
        <is>
          <t>L</t>
        </is>
      </c>
      <c r="E29" t="n">
        <v>225</v>
      </c>
      <c r="H29">
        <f>F29*(1-IFERROR(G29,0)/100)</f>
        <v/>
      </c>
      <c r="I29">
        <f>H29*1.25</f>
        <v/>
      </c>
      <c r="J29">
        <f>IF(H29=0,"",(H29-E29)/H29)</f>
        <v/>
      </c>
      <c r="K29">
        <f>IF(H29=0,"",H29-E29)</f>
        <v/>
      </c>
    </row>
    <row r="30">
      <c r="A30" t="inlineStr">
        <is>
          <t>Træbeskyttelse &amp; Olie</t>
        </is>
      </c>
      <c r="B30" s="2" t="inlineStr">
        <is>
          <t>Træbeskyttelse heldækkende (vandig)</t>
        </is>
      </c>
      <c r="C30" t="inlineStr">
        <is>
          <t>5 L</t>
        </is>
      </c>
      <c r="D30" t="inlineStr">
        <is>
          <t>L</t>
        </is>
      </c>
      <c r="E30" t="n">
        <v>250</v>
      </c>
      <c r="H30">
        <f>F30*(1-IFERROR(G30,0)/100)</f>
        <v/>
      </c>
      <c r="I30">
        <f>H30*1.25</f>
        <v/>
      </c>
      <c r="J30">
        <f>IF(H30=0,"",(H30-E30)/H30)</f>
        <v/>
      </c>
      <c r="K30">
        <f>IF(H30=0,"",H30-E30)</f>
        <v/>
      </c>
    </row>
    <row r="31">
      <c r="A31" t="inlineStr">
        <is>
          <t>Træbeskyttelse &amp; Olie</t>
        </is>
      </c>
      <c r="B31" s="2" t="inlineStr">
        <is>
          <t>Transparent træbeskyttelse</t>
        </is>
      </c>
      <c r="C31" t="inlineStr">
        <is>
          <t>5 L</t>
        </is>
      </c>
      <c r="D31" t="inlineStr">
        <is>
          <t>L</t>
        </is>
      </c>
      <c r="E31" t="n">
        <v>175</v>
      </c>
      <c r="H31">
        <f>F31*(1-IFERROR(G31,0)/100)</f>
        <v/>
      </c>
      <c r="I31">
        <f>H31*1.25</f>
        <v/>
      </c>
      <c r="J31">
        <f>IF(H31=0,"",(H31-E31)/H31)</f>
        <v/>
      </c>
      <c r="K31">
        <f>IF(H31=0,"",H31-E31)</f>
        <v/>
      </c>
    </row>
    <row r="32">
      <c r="A32" t="inlineStr">
        <is>
          <t>Træbeskyttelse &amp; Olie</t>
        </is>
      </c>
      <c r="B32" s="2" t="inlineStr">
        <is>
          <t>Transparent træbeskyttelse (tixotropisk)</t>
        </is>
      </c>
      <c r="C32" t="inlineStr">
        <is>
          <t>5 L</t>
        </is>
      </c>
      <c r="D32" t="inlineStr">
        <is>
          <t>L</t>
        </is>
      </c>
      <c r="E32" t="n">
        <v>175</v>
      </c>
      <c r="H32">
        <f>F32*(1-IFERROR(G32,0)/100)</f>
        <v/>
      </c>
      <c r="I32">
        <f>H32*1.25</f>
        <v/>
      </c>
      <c r="J32">
        <f>IF(H32=0,"",(H32-E32)/H32)</f>
        <v/>
      </c>
      <c r="K32">
        <f>IF(H32=0,"",H32-E32)</f>
        <v/>
      </c>
    </row>
    <row r="33">
      <c r="A33" t="inlineStr">
        <is>
          <t>Træbeskyttelse &amp; Olie</t>
        </is>
      </c>
      <c r="B33" s="2" t="inlineStr">
        <is>
          <t>Træterrasseolie (olie-baseret)</t>
        </is>
      </c>
      <c r="C33" t="inlineStr">
        <is>
          <t>5 L</t>
        </is>
      </c>
      <c r="D33" t="inlineStr">
        <is>
          <t>L</t>
        </is>
      </c>
      <c r="E33" t="n">
        <v>125</v>
      </c>
      <c r="H33">
        <f>F33*(1-IFERROR(G33,0)/100)</f>
        <v/>
      </c>
      <c r="I33">
        <f>H33*1.25</f>
        <v/>
      </c>
      <c r="J33">
        <f>IF(H33=0,"",(H33-E33)/H33)</f>
        <v/>
      </c>
      <c r="K33">
        <f>IF(H33=0,"",H33-E33)</f>
        <v/>
      </c>
    </row>
    <row r="34">
      <c r="A34" t="inlineStr">
        <is>
          <t>Træbeskyttelse &amp; Olie</t>
        </is>
      </c>
      <c r="B34" s="2" t="inlineStr">
        <is>
          <t>Træolie 40 (olie-baseret)</t>
        </is>
      </c>
      <c r="C34" t="inlineStr">
        <is>
          <t>2,5 L</t>
        </is>
      </c>
      <c r="D34" t="inlineStr">
        <is>
          <t>L</t>
        </is>
      </c>
      <c r="E34" t="n">
        <v>100</v>
      </c>
      <c r="H34">
        <f>F34*(1-IFERROR(G34,0)/100)</f>
        <v/>
      </c>
      <c r="I34">
        <f>H34*1.25</f>
        <v/>
      </c>
      <c r="J34">
        <f>IF(H34=0,"",(H34-E34)/H34)</f>
        <v/>
      </c>
      <c r="K34">
        <f>IF(H34=0,"",H34-E34)</f>
        <v/>
      </c>
    </row>
    <row r="35">
      <c r="A35" t="inlineStr">
        <is>
          <t>Træbeskyttelse &amp; Olie</t>
        </is>
      </c>
      <c r="B35" s="2" t="inlineStr">
        <is>
          <t>Træolie 40 (olie-baseret)</t>
        </is>
      </c>
      <c r="C35" t="inlineStr">
        <is>
          <t>5 L</t>
        </is>
      </c>
      <c r="D35" t="inlineStr">
        <is>
          <t>L</t>
        </is>
      </c>
      <c r="E35" t="n">
        <v>175</v>
      </c>
      <c r="H35">
        <f>F35*(1-IFERROR(G35,0)/100)</f>
        <v/>
      </c>
      <c r="I35">
        <f>H35*1.25</f>
        <v/>
      </c>
      <c r="J35">
        <f>IF(H35=0,"",(H35-E35)/H35)</f>
        <v/>
      </c>
      <c r="K35">
        <f>IF(H35=0,"",H35-E35)</f>
        <v/>
      </c>
    </row>
    <row r="36">
      <c r="A36" t="inlineStr">
        <is>
          <t>Træbeskyttelse &amp; Olie</t>
        </is>
      </c>
      <c r="B36" s="2" t="inlineStr">
        <is>
          <t>Ædeltræsolie (gylden)</t>
        </is>
      </c>
      <c r="C36" t="inlineStr">
        <is>
          <t>5 L</t>
        </is>
      </c>
      <c r="D36" t="inlineStr">
        <is>
          <t>L</t>
        </is>
      </c>
      <c r="E36" t="n">
        <v>225</v>
      </c>
      <c r="H36">
        <f>F36*(1-IFERROR(G36,0)/100)</f>
        <v/>
      </c>
      <c r="I36">
        <f>H36*1.25</f>
        <v/>
      </c>
      <c r="J36">
        <f>IF(H36=0,"",(H36-E36)/H36)</f>
        <v/>
      </c>
      <c r="K36">
        <f>IF(H36=0,"",H36-E36)</f>
        <v/>
      </c>
    </row>
    <row r="37">
      <c r="A37" t="inlineStr">
        <is>
          <t>Træbeskyttelse &amp; Olie</t>
        </is>
      </c>
      <c r="B37" s="2" t="inlineStr">
        <is>
          <t>Universal heldækkende (olie-baseret) til træ/sten/eternit</t>
        </is>
      </c>
      <c r="C37" t="inlineStr">
        <is>
          <t>5 L</t>
        </is>
      </c>
      <c r="D37" t="inlineStr">
        <is>
          <t>L</t>
        </is>
      </c>
      <c r="E37" t="n">
        <v>225</v>
      </c>
      <c r="H37">
        <f>F37*(1-IFERROR(G37,0)/100)</f>
        <v/>
      </c>
      <c r="I37">
        <f>H37*1.25</f>
        <v/>
      </c>
      <c r="J37">
        <f>IF(H37=0,"",(H37-E37)/H37)</f>
        <v/>
      </c>
      <c r="K37">
        <f>IF(H37=0,"",H37-E37)</f>
        <v/>
      </c>
    </row>
    <row r="38">
      <c r="A38" t="inlineStr">
        <is>
          <t>Mur &amp; Facade &amp; Tag</t>
        </is>
      </c>
      <c r="B38" s="2" t="inlineStr">
        <is>
          <t>Mur &amp; facademaling (akryl/olie)</t>
        </is>
      </c>
      <c r="C38" t="inlineStr">
        <is>
          <t>5 L</t>
        </is>
      </c>
      <c r="D38" t="inlineStr">
        <is>
          <t>L</t>
        </is>
      </c>
      <c r="E38" t="n">
        <v>250</v>
      </c>
      <c r="H38">
        <f>F38*(1-IFERROR(G38,0)/100)</f>
        <v/>
      </c>
      <c r="I38">
        <f>H38*1.25</f>
        <v/>
      </c>
      <c r="J38">
        <f>IF(H38=0,"",(H38-E38)/H38)</f>
        <v/>
      </c>
      <c r="K38">
        <f>IF(H38=0,"",H38-E38)</f>
        <v/>
      </c>
    </row>
    <row r="39">
      <c r="A39" t="inlineStr">
        <is>
          <t>Mur &amp; Facade &amp; Tag</t>
        </is>
      </c>
      <c r="B39" s="2" t="inlineStr">
        <is>
          <t>Mur &amp; facademaling (akryl/olie)</t>
        </is>
      </c>
      <c r="C39" t="inlineStr">
        <is>
          <t>10 L</t>
        </is>
      </c>
      <c r="D39" t="inlineStr">
        <is>
          <t>L</t>
        </is>
      </c>
      <c r="E39" t="n">
        <v>400</v>
      </c>
      <c r="H39">
        <f>F39*(1-IFERROR(G39,0)/100)</f>
        <v/>
      </c>
      <c r="I39">
        <f>H39*1.25</f>
        <v/>
      </c>
      <c r="J39">
        <f>IF(H39=0,"",(H39-E39)/H39)</f>
        <v/>
      </c>
      <c r="K39">
        <f>IF(H39=0,"",H39-E39)</f>
        <v/>
      </c>
    </row>
    <row r="40">
      <c r="A40" t="inlineStr">
        <is>
          <t>Mur &amp; Facade &amp; Tag</t>
        </is>
      </c>
      <c r="B40" s="2" t="inlineStr">
        <is>
          <t>Tag &amp; facademaling</t>
        </is>
      </c>
      <c r="C40" t="inlineStr">
        <is>
          <t>10 L</t>
        </is>
      </c>
      <c r="D40" t="inlineStr">
        <is>
          <t>L</t>
        </is>
      </c>
      <c r="E40" t="n">
        <v>300</v>
      </c>
      <c r="H40">
        <f>F40*(1-IFERROR(G40,0)/100)</f>
        <v/>
      </c>
      <c r="I40">
        <f>H40*1.25</f>
        <v/>
      </c>
      <c r="J40">
        <f>IF(H40=0,"",(H40-E40)/H40)</f>
        <v/>
      </c>
      <c r="K40">
        <f>IF(H40=0,"",H40-E40)</f>
        <v/>
      </c>
    </row>
    <row r="41">
      <c r="A41" t="inlineStr">
        <is>
          <t>Mur &amp; Facade &amp; Tag</t>
        </is>
      </c>
      <c r="B41" s="2" t="inlineStr">
        <is>
          <t>Tag &amp; facademaling Glans 20</t>
        </is>
      </c>
      <c r="C41" t="inlineStr">
        <is>
          <t>10 L</t>
        </is>
      </c>
      <c r="D41" t="inlineStr">
        <is>
          <t>L</t>
        </is>
      </c>
      <c r="E41" t="n">
        <v>350</v>
      </c>
      <c r="H41">
        <f>F41*(1-IFERROR(G41,0)/100)</f>
        <v/>
      </c>
      <c r="I41">
        <f>H41*1.25</f>
        <v/>
      </c>
      <c r="J41">
        <f>IF(H41=0,"",(H41-E41)/H41)</f>
        <v/>
      </c>
      <c r="K41">
        <f>IF(H41=0,"",H41-E41)</f>
        <v/>
      </c>
    </row>
    <row r="42">
      <c r="A42" t="inlineStr">
        <is>
          <t>Mur &amp; Facade &amp; Tag</t>
        </is>
      </c>
      <c r="B42" s="2" t="inlineStr">
        <is>
          <t>Tagmaling Glans 20 (sort glans 60)</t>
        </is>
      </c>
      <c r="C42" t="inlineStr">
        <is>
          <t>20 L</t>
        </is>
      </c>
      <c r="D42" t="inlineStr">
        <is>
          <t>L</t>
        </is>
      </c>
      <c r="E42" t="n">
        <v>600</v>
      </c>
      <c r="H42">
        <f>F42*(1-IFERROR(G42,0)/100)</f>
        <v/>
      </c>
      <c r="I42">
        <f>H42*1.25</f>
        <v/>
      </c>
      <c r="J42">
        <f>IF(H42=0,"",(H42-E42)/H42)</f>
        <v/>
      </c>
      <c r="K42">
        <f>IF(H42=0,"",H42-E42)</f>
        <v/>
      </c>
    </row>
    <row r="43">
      <c r="A43" t="inlineStr">
        <is>
          <t>Mur &amp; Facade &amp; Tag</t>
        </is>
      </c>
      <c r="B43" s="2" t="inlineStr">
        <is>
          <t>Tagmaling Glans 10</t>
        </is>
      </c>
      <c r="C43" t="inlineStr">
        <is>
          <t>20 L</t>
        </is>
      </c>
      <c r="D43" t="inlineStr">
        <is>
          <t>L</t>
        </is>
      </c>
      <c r="E43" t="n">
        <v>600</v>
      </c>
      <c r="H43">
        <f>F43*(1-IFERROR(G43,0)/100)</f>
        <v/>
      </c>
      <c r="I43">
        <f>H43*1.25</f>
        <v/>
      </c>
      <c r="J43">
        <f>IF(H43=0,"",(H43-E43)/H43)</f>
        <v/>
      </c>
      <c r="K43">
        <f>IF(H43=0,"",H43-E43)</f>
        <v/>
      </c>
    </row>
    <row r="44">
      <c r="A44" t="inlineStr">
        <is>
          <t>Mur &amp; Facade &amp; Tag</t>
        </is>
      </c>
      <c r="B44" s="2" t="inlineStr">
        <is>
          <t>Tagmaling aluminium Glans 60</t>
        </is>
      </c>
      <c r="C44" t="inlineStr">
        <is>
          <t>20 L</t>
        </is>
      </c>
      <c r="D44" t="inlineStr">
        <is>
          <t>L</t>
        </is>
      </c>
      <c r="E44" t="n">
        <v>800</v>
      </c>
      <c r="H44">
        <f>F44*(1-IFERROR(G44,0)/100)</f>
        <v/>
      </c>
      <c r="I44">
        <f>H44*1.25</f>
        <v/>
      </c>
      <c r="J44">
        <f>IF(H44=0,"",(H44-E44)/H44)</f>
        <v/>
      </c>
      <c r="K44">
        <f>IF(H44=0,"",H44-E44)</f>
        <v/>
      </c>
    </row>
    <row r="45">
      <c r="A45" t="inlineStr">
        <is>
          <t>Mur &amp; Facade &amp; Tag</t>
        </is>
      </c>
      <c r="B45" s="2" t="inlineStr">
        <is>
          <t>Tag &amp; sokkelmaling</t>
        </is>
      </c>
      <c r="C45" t="inlineStr">
        <is>
          <t>2,5 L</t>
        </is>
      </c>
      <c r="D45" t="inlineStr">
        <is>
          <t>L</t>
        </is>
      </c>
      <c r="E45" t="n">
        <v>87.5</v>
      </c>
      <c r="H45">
        <f>F45*(1-IFERROR(G45,0)/100)</f>
        <v/>
      </c>
      <c r="I45">
        <f>H45*1.25</f>
        <v/>
      </c>
      <c r="J45">
        <f>IF(H45=0,"",(H45-E45)/H45)</f>
        <v/>
      </c>
      <c r="K45">
        <f>IF(H45=0,"",H45-E45)</f>
        <v/>
      </c>
    </row>
    <row r="46">
      <c r="A46" t="inlineStr">
        <is>
          <t>Mur &amp; Facade &amp; Tag</t>
        </is>
      </c>
      <c r="B46" s="2" t="inlineStr">
        <is>
          <t>Tag &amp; sokkelmaling</t>
        </is>
      </c>
      <c r="C46" t="inlineStr">
        <is>
          <t>5 L</t>
        </is>
      </c>
      <c r="D46" t="inlineStr">
        <is>
          <t>L</t>
        </is>
      </c>
      <c r="E46" t="n">
        <v>175</v>
      </c>
      <c r="H46">
        <f>F46*(1-IFERROR(G46,0)/100)</f>
        <v/>
      </c>
      <c r="I46">
        <f>H46*1.25</f>
        <v/>
      </c>
      <c r="J46">
        <f>IF(H46=0,"",(H46-E46)/H46)</f>
        <v/>
      </c>
      <c r="K46">
        <f>IF(H46=0,"",H46-E46)</f>
        <v/>
      </c>
    </row>
    <row r="47">
      <c r="A47" t="inlineStr">
        <is>
          <t>Mur &amp; Facade &amp; Tag</t>
        </is>
      </c>
      <c r="B47" s="2" t="inlineStr">
        <is>
          <t>Tagflex (gummimaling)</t>
        </is>
      </c>
      <c r="C47" t="inlineStr">
        <is>
          <t>20 L</t>
        </is>
      </c>
      <c r="D47" t="inlineStr">
        <is>
          <t>L</t>
        </is>
      </c>
      <c r="E47" t="n">
        <v>600</v>
      </c>
      <c r="H47">
        <f>F47*(1-IFERROR(G47,0)/100)</f>
        <v/>
      </c>
      <c r="I47">
        <f>H47*1.25</f>
        <v/>
      </c>
      <c r="J47">
        <f>IF(H47=0,"",(H47-E47)/H47)</f>
        <v/>
      </c>
      <c r="K47">
        <f>IF(H47=0,"",H47-E47)</f>
        <v/>
      </c>
    </row>
    <row r="48">
      <c r="A48" t="inlineStr">
        <is>
          <t>Rens</t>
        </is>
      </c>
      <c r="B48" s="2" t="inlineStr">
        <is>
          <t>Husrens Plus 9,9%</t>
        </is>
      </c>
      <c r="C48" t="inlineStr">
        <is>
          <t>5 L</t>
        </is>
      </c>
      <c r="D48" t="inlineStr">
        <is>
          <t>L</t>
        </is>
      </c>
      <c r="E48" t="n">
        <v>50</v>
      </c>
      <c r="H48">
        <f>F48*(1-IFERROR(G48,0)/100)</f>
        <v/>
      </c>
      <c r="I48">
        <f>H48*1.25</f>
        <v/>
      </c>
      <c r="J48">
        <f>IF(H48=0,"",(H48-E48)/H48)</f>
        <v/>
      </c>
      <c r="K48">
        <f>IF(H48=0,"",H48-E48)</f>
        <v/>
      </c>
    </row>
    <row r="49">
      <c r="A49" t="inlineStr">
        <is>
          <t>Rens</t>
        </is>
      </c>
      <c r="B49" s="2" t="inlineStr">
        <is>
          <t>Universalrens koncentrat 50%</t>
        </is>
      </c>
      <c r="C49" t="inlineStr">
        <is>
          <t>20 L</t>
        </is>
      </c>
      <c r="D49" t="inlineStr">
        <is>
          <t>L</t>
        </is>
      </c>
      <c r="E49" t="n">
        <v>500</v>
      </c>
      <c r="H49">
        <f>F49*(1-IFERROR(G49,0)/100)</f>
        <v/>
      </c>
      <c r="I49">
        <f>H49*1.25</f>
        <v/>
      </c>
      <c r="J49">
        <f>IF(H49=0,"",(H49-E49)/H49)</f>
        <v/>
      </c>
      <c r="K49">
        <f>IF(H49=0,"",H49-E49)</f>
        <v/>
      </c>
    </row>
    <row r="50">
      <c r="A50" t="inlineStr">
        <is>
          <t>Epoxy</t>
        </is>
      </c>
      <c r="B50" s="2" t="inlineStr">
        <is>
          <t>LF-Epoxy Klar</t>
        </is>
      </c>
      <c r="C50" t="inlineStr">
        <is>
          <t>16 kg sæt</t>
        </is>
      </c>
      <c r="D50" t="inlineStr">
        <is>
          <t>kg</t>
        </is>
      </c>
      <c r="E50" t="n">
        <v>750</v>
      </c>
      <c r="H50">
        <f>F50*(1-IFERROR(G50,0)/100)</f>
        <v/>
      </c>
      <c r="I50">
        <f>H50*1.25</f>
        <v/>
      </c>
      <c r="J50">
        <f>IF(H50=0,"",(H50-E50)/H50)</f>
        <v/>
      </c>
      <c r="K50">
        <f>IF(H50=0,"",H50-E50)</f>
        <v/>
      </c>
    </row>
    <row r="51">
      <c r="A51" t="inlineStr">
        <is>
          <t>Epoxy</t>
        </is>
      </c>
      <c r="B51" s="2" t="inlineStr">
        <is>
          <t>LF-Epoxy Primer upigmenteret</t>
        </is>
      </c>
      <c r="C51" t="inlineStr">
        <is>
          <t>15 kg sæt</t>
        </is>
      </c>
      <c r="D51" t="inlineStr">
        <is>
          <t>kg</t>
        </is>
      </c>
      <c r="E51" t="n">
        <v>1150</v>
      </c>
      <c r="H51">
        <f>F51*(1-IFERROR(G51,0)/100)</f>
        <v/>
      </c>
      <c r="I51">
        <f>H51*1.25</f>
        <v/>
      </c>
      <c r="J51">
        <f>IF(H51=0,"",(H51-E51)/H51)</f>
        <v/>
      </c>
      <c r="K51">
        <f>IF(H51=0,"",H51-E51)</f>
        <v/>
      </c>
    </row>
    <row r="52">
      <c r="A52" t="inlineStr">
        <is>
          <t>Vægbeklædning</t>
        </is>
      </c>
      <c r="B52" s="2" t="inlineStr">
        <is>
          <t>Glasfilt</t>
        </is>
      </c>
      <c r="C52" t="inlineStr">
        <is>
          <t>25 m</t>
        </is>
      </c>
      <c r="D52" t="inlineStr">
        <is>
          <t>m/rl</t>
        </is>
      </c>
      <c r="H52">
        <f>F52*(1-IFERROR(G52,0)/100)</f>
        <v/>
      </c>
      <c r="I52">
        <f>H52*1.25</f>
        <v/>
      </c>
      <c r="J52">
        <f>IF(H52=0,"",(H52-E52)/H52)</f>
        <v/>
      </c>
      <c r="K52">
        <f>IF(H52=0,"",H52-E52)</f>
        <v/>
      </c>
    </row>
    <row r="53">
      <c r="A53" t="inlineStr">
        <is>
          <t>Vægbeklædning</t>
        </is>
      </c>
      <c r="B53" s="2" t="inlineStr">
        <is>
          <t>Glasfilt</t>
        </is>
      </c>
      <c r="C53" t="inlineStr">
        <is>
          <t>50 m</t>
        </is>
      </c>
      <c r="D53" t="inlineStr">
        <is>
          <t>m/rl</t>
        </is>
      </c>
      <c r="H53">
        <f>F53*(1-IFERROR(G53,0)/100)</f>
        <v/>
      </c>
      <c r="I53">
        <f>H53*1.25</f>
        <v/>
      </c>
      <c r="J53">
        <f>IF(H53=0,"",(H53-E53)/H53)</f>
        <v/>
      </c>
      <c r="K53">
        <f>IF(H53=0,"",H53-E53)</f>
        <v/>
      </c>
    </row>
    <row r="54">
      <c r="A54" t="inlineStr">
        <is>
          <t>Vægbeklædning</t>
        </is>
      </c>
      <c r="B54" s="2" t="inlineStr">
        <is>
          <t>Glasvæv</t>
        </is>
      </c>
      <c r="C54" t="inlineStr">
        <is>
          <t>25 m</t>
        </is>
      </c>
      <c r="D54" t="inlineStr">
        <is>
          <t>m/rl</t>
        </is>
      </c>
      <c r="H54">
        <f>F54*(1-IFERROR(G54,0)/100)</f>
        <v/>
      </c>
      <c r="I54">
        <f>H54*1.25</f>
        <v/>
      </c>
      <c r="J54">
        <f>IF(H54=0,"",(H54-E54)/H54)</f>
        <v/>
      </c>
      <c r="K54">
        <f>IF(H54=0,"",H54-E54)</f>
        <v/>
      </c>
    </row>
    <row r="55">
      <c r="A55" t="inlineStr">
        <is>
          <t>Vægbeklædning</t>
        </is>
      </c>
      <c r="B55" s="2" t="inlineStr">
        <is>
          <t>Glasvæv</t>
        </is>
      </c>
      <c r="C55" t="inlineStr">
        <is>
          <t>50 m</t>
        </is>
      </c>
      <c r="D55" t="inlineStr">
        <is>
          <t>m/rl</t>
        </is>
      </c>
      <c r="H55">
        <f>F55*(1-IFERROR(G55,0)/100)</f>
        <v/>
      </c>
      <c r="I55">
        <f>H55*1.25</f>
        <v/>
      </c>
      <c r="J55">
        <f>IF(H55=0,"",(H55-E55)/H55)</f>
        <v/>
      </c>
      <c r="K55">
        <f>IF(H55=0,"",H55-E55)</f>
        <v/>
      </c>
    </row>
    <row r="56">
      <c r="A56" t="inlineStr">
        <is>
          <t>Vægbeklædning</t>
        </is>
      </c>
      <c r="B56" s="2" t="inlineStr">
        <is>
          <t>Magnetisk filt Mag+</t>
        </is>
      </c>
      <c r="C56" t="inlineStr">
        <is>
          <t>2,5 m²</t>
        </is>
      </c>
      <c r="D56" t="inlineStr">
        <is>
          <t>m²</t>
        </is>
      </c>
      <c r="H56">
        <f>F56*(1-IFERROR(G56,0)/100)</f>
        <v/>
      </c>
      <c r="I56">
        <f>H56*1.25</f>
        <v/>
      </c>
      <c r="J56">
        <f>IF(H56=0,"",(H56-E56)/H56)</f>
        <v/>
      </c>
      <c r="K56">
        <f>IF(H56=0,"",H56-E56)</f>
        <v/>
      </c>
    </row>
    <row r="57">
      <c r="A57" t="inlineStr">
        <is>
          <t>Vægbeklædning</t>
        </is>
      </c>
      <c r="B57" s="2" t="inlineStr">
        <is>
          <t>Magnetisk filt Mag+</t>
        </is>
      </c>
      <c r="C57" t="inlineStr">
        <is>
          <t>5 m²</t>
        </is>
      </c>
      <c r="D57" t="inlineStr">
        <is>
          <t>m²</t>
        </is>
      </c>
      <c r="H57">
        <f>F57*(1-IFERROR(G57,0)/100)</f>
        <v/>
      </c>
      <c r="I57">
        <f>H57*1.25</f>
        <v/>
      </c>
      <c r="J57">
        <f>IF(H57=0,"",(H57-E57)/H57)</f>
        <v/>
      </c>
      <c r="K57">
        <f>IF(H57=0,"",H57-E57)</f>
        <v/>
      </c>
    </row>
    <row r="58">
      <c r="A58" t="inlineStr">
        <is>
          <t>Vægbeklædning</t>
        </is>
      </c>
      <c r="B58" s="2" t="inlineStr">
        <is>
          <t>Magnetisk filt Mag+</t>
        </is>
      </c>
      <c r="C58" t="inlineStr">
        <is>
          <t>10 m²</t>
        </is>
      </c>
      <c r="D58" t="inlineStr">
        <is>
          <t>m²</t>
        </is>
      </c>
      <c r="H58">
        <f>F58*(1-IFERROR(G58,0)/100)</f>
        <v/>
      </c>
      <c r="I58">
        <f>H58*1.25</f>
        <v/>
      </c>
      <c r="J58">
        <f>IF(H58=0,"",(H58-E58)/H58)</f>
        <v/>
      </c>
      <c r="K58">
        <f>IF(H58=0,"",H58-E58)</f>
        <v/>
      </c>
    </row>
    <row r="59">
      <c r="A59" t="inlineStr">
        <is>
          <t>Vægbeklædning</t>
        </is>
      </c>
      <c r="B59" s="2" t="inlineStr">
        <is>
          <t>Rutex savsmuldstapet</t>
        </is>
      </c>
      <c r="C59" t="inlineStr">
        <is>
          <t>1 rulle</t>
        </is>
      </c>
      <c r="D59" t="inlineStr">
        <is>
          <t>rl</t>
        </is>
      </c>
      <c r="H59">
        <f>F59*(1-IFERROR(G59,0)/100)</f>
        <v/>
      </c>
      <c r="I59">
        <f>H59*1.25</f>
        <v/>
      </c>
      <c r="J59">
        <f>IF(H59=0,"",(H59-E59)/H59)</f>
        <v/>
      </c>
      <c r="K59">
        <f>IF(H59=0,"",H59-E59)</f>
        <v/>
      </c>
    </row>
    <row r="60">
      <c r="A60" t="inlineStr">
        <is>
          <t>Vægbeklædning</t>
        </is>
      </c>
      <c r="B60" s="2" t="inlineStr">
        <is>
          <t>Vævlim</t>
        </is>
      </c>
      <c r="C60" t="inlineStr">
        <is>
          <t>3 L</t>
        </is>
      </c>
      <c r="D60" t="inlineStr">
        <is>
          <t>L</t>
        </is>
      </c>
      <c r="H60">
        <f>F60*(1-IFERROR(G60,0)/100)</f>
        <v/>
      </c>
      <c r="I60">
        <f>H60*1.25</f>
        <v/>
      </c>
      <c r="J60">
        <f>IF(H60=0,"",(H60-E60)/H60)</f>
        <v/>
      </c>
      <c r="K60">
        <f>IF(H60=0,"",H60-E60)</f>
        <v/>
      </c>
    </row>
    <row r="61">
      <c r="A61" t="inlineStr">
        <is>
          <t>Vægbeklædning</t>
        </is>
      </c>
      <c r="B61" s="2" t="inlineStr">
        <is>
          <t>Vævlim</t>
        </is>
      </c>
      <c r="C61" t="inlineStr">
        <is>
          <t>12 L</t>
        </is>
      </c>
      <c r="D61" t="inlineStr">
        <is>
          <t>L</t>
        </is>
      </c>
      <c r="H61">
        <f>F61*(1-IFERROR(G61,0)/100)</f>
        <v/>
      </c>
      <c r="I61">
        <f>H61*1.25</f>
        <v/>
      </c>
      <c r="J61">
        <f>IF(H61=0,"",(H61-E61)/H61)</f>
        <v/>
      </c>
      <c r="K61">
        <f>IF(H61=0,"",H61-E61)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2026-02-22T18:35:40Z</dcterms:created>
  <dcterms:modified xmlns:dcterms="http://purl.org/dc/terms/" xmlns:xsi="http://www.w3.org/2001/XMLSchema-instance" xsi:type="dcterms:W3CDTF">2026-02-22T18:55:39Z</dcterms:modified>
</cp:coreProperties>
</file>